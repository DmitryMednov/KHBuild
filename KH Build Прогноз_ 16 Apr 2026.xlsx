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mitriyseregin/Library/Mobile Documents/com~apple~CloudDocs/000/3. KH BUILD/"/>
    </mc:Choice>
  </mc:AlternateContent>
  <xr:revisionPtr revIDLastSave="0" documentId="13_ncr:1_{456D80F1-C11D-264F-A568-A2998A026FAF}" xr6:coauthVersionLast="47" xr6:coauthVersionMax="47" xr10:uidLastSave="{00000000-0000-0000-0000-000000000000}"/>
  <bookViews>
    <workbookView xWindow="0" yWindow="600" windowWidth="27720" windowHeight="17380" xr2:uid="{DCC9367A-F584-664A-8068-0593F5D61B81}"/>
  </bookViews>
  <sheets>
    <sheet name="KH BULD" sheetId="3" r:id="rId1"/>
    <sheet name="Salary NEW" sheetId="5" r:id="rId2"/>
    <sheet name="Salary" sheetId="4" r:id="rId3"/>
    <sheet name="ABC project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" i="3" l="1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M34" i="3"/>
  <c r="K31" i="3"/>
  <c r="V7" i="3"/>
  <c r="W7" i="3"/>
  <c r="X7" i="3"/>
  <c r="Y7" i="3"/>
  <c r="Z7" i="3"/>
  <c r="AA7" i="3"/>
  <c r="T7" i="3"/>
  <c r="U7" i="3"/>
  <c r="O7" i="3"/>
  <c r="P7" i="3"/>
  <c r="Q7" i="3"/>
  <c r="R7" i="3"/>
  <c r="S7" i="3"/>
  <c r="N7" i="3"/>
  <c r="M7" i="3"/>
  <c r="M4" i="3"/>
  <c r="L7" i="3"/>
  <c r="C8" i="3"/>
  <c r="C9" i="3"/>
  <c r="C10" i="3"/>
  <c r="C7" i="3" s="1"/>
  <c r="C11" i="3"/>
  <c r="C12" i="3"/>
  <c r="C13" i="3"/>
  <c r="C14" i="3"/>
  <c r="C15" i="3"/>
  <c r="C16" i="3"/>
  <c r="C17" i="3"/>
  <c r="C18" i="3"/>
  <c r="R25" i="3" l="1"/>
  <c r="K23" i="3"/>
  <c r="Y30" i="3"/>
  <c r="Z30" i="3"/>
  <c r="AA30" i="3"/>
  <c r="Y29" i="3"/>
  <c r="Z29" i="3"/>
  <c r="AA29" i="3"/>
  <c r="Y28" i="3"/>
  <c r="Z28" i="3"/>
  <c r="AA28" i="3"/>
  <c r="Y27" i="3"/>
  <c r="Z27" i="3"/>
  <c r="AA27" i="3"/>
  <c r="Y26" i="3"/>
  <c r="Z26" i="3"/>
  <c r="AA26" i="3"/>
  <c r="C19" i="3"/>
  <c r="C21" i="3"/>
  <c r="K20" i="5"/>
  <c r="M24" i="3" s="1"/>
  <c r="M23" i="3" s="1"/>
  <c r="M31" i="3" s="1"/>
  <c r="K30" i="3"/>
  <c r="M13" i="3"/>
  <c r="C20" i="3"/>
  <c r="K7" i="3"/>
  <c r="I25" i="3" l="1"/>
  <c r="R11" i="3"/>
  <c r="J7" i="3"/>
  <c r="I7" i="3"/>
  <c r="D23" i="3"/>
  <c r="D7" i="3"/>
  <c r="D3" i="3"/>
  <c r="O12" i="3"/>
  <c r="P29" i="3" l="1"/>
  <c r="Q29" i="3"/>
  <c r="R29" i="3"/>
  <c r="S29" i="3"/>
  <c r="T29" i="3"/>
  <c r="U29" i="3"/>
  <c r="V29" i="3"/>
  <c r="W29" i="3"/>
  <c r="X29" i="3"/>
  <c r="O29" i="3"/>
  <c r="N29" i="3"/>
  <c r="X30" i="3"/>
  <c r="W30" i="3"/>
  <c r="V30" i="3"/>
  <c r="U30" i="3"/>
  <c r="T30" i="3"/>
  <c r="X28" i="3"/>
  <c r="X27" i="3"/>
  <c r="T28" i="3"/>
  <c r="U28" i="3"/>
  <c r="V28" i="3"/>
  <c r="W28" i="3"/>
  <c r="T27" i="3"/>
  <c r="U27" i="3"/>
  <c r="V27" i="3"/>
  <c r="W27" i="3"/>
  <c r="T26" i="3"/>
  <c r="U26" i="3"/>
  <c r="V26" i="3"/>
  <c r="W26" i="3"/>
  <c r="X26" i="3"/>
  <c r="G27" i="3" l="1"/>
  <c r="G28" i="3"/>
  <c r="G30" i="3"/>
  <c r="G29" i="3"/>
  <c r="G26" i="3"/>
  <c r="G24" i="3"/>
  <c r="G3" i="3"/>
  <c r="G23" i="3" l="1"/>
  <c r="D20" i="5" l="1"/>
  <c r="K24" i="3" s="1"/>
  <c r="S30" i="3"/>
  <c r="S28" i="3"/>
  <c r="S27" i="3"/>
  <c r="S26" i="3"/>
  <c r="N24" i="3" l="1"/>
  <c r="O24" i="3" s="1"/>
  <c r="P24" i="3" s="1"/>
  <c r="Q24" i="3" l="1"/>
  <c r="R24" i="3" s="1"/>
  <c r="S24" i="3" s="1"/>
  <c r="G7" i="3"/>
  <c r="H7" i="3"/>
  <c r="T24" i="3" l="1"/>
  <c r="S23" i="3"/>
  <c r="U24" i="3" l="1"/>
  <c r="T23" i="3"/>
  <c r="D20" i="4"/>
  <c r="F30" i="3"/>
  <c r="F26" i="3"/>
  <c r="F7" i="3"/>
  <c r="U23" i="3" l="1"/>
  <c r="V24" i="3"/>
  <c r="R30" i="3"/>
  <c r="R28" i="3"/>
  <c r="R27" i="3"/>
  <c r="R26" i="3"/>
  <c r="Q30" i="3"/>
  <c r="Q28" i="3"/>
  <c r="Q27" i="3"/>
  <c r="Q26" i="3"/>
  <c r="Q23" i="3" s="1"/>
  <c r="E7" i="3"/>
  <c r="E3" i="3"/>
  <c r="E24" i="3"/>
  <c r="E25" i="3"/>
  <c r="E30" i="3"/>
  <c r="P26" i="3"/>
  <c r="O26" i="3"/>
  <c r="N26" i="3"/>
  <c r="M26" i="3"/>
  <c r="K26" i="3"/>
  <c r="P27" i="3"/>
  <c r="O27" i="3"/>
  <c r="N27" i="3"/>
  <c r="M27" i="3"/>
  <c r="K27" i="3"/>
  <c r="I27" i="3"/>
  <c r="I23" i="3" s="1"/>
  <c r="F27" i="3"/>
  <c r="W24" i="3" l="1"/>
  <c r="V23" i="3"/>
  <c r="R23" i="3"/>
  <c r="E23" i="3"/>
  <c r="E31" i="3" s="1"/>
  <c r="X24" i="3" l="1"/>
  <c r="W23" i="3"/>
  <c r="P25" i="3"/>
  <c r="O25" i="3"/>
  <c r="K25" i="3"/>
  <c r="F25" i="3"/>
  <c r="X23" i="3" l="1"/>
  <c r="Y24" i="3"/>
  <c r="P30" i="3"/>
  <c r="O30" i="3"/>
  <c r="N30" i="3"/>
  <c r="M30" i="3"/>
  <c r="P28" i="3"/>
  <c r="O28" i="3"/>
  <c r="N28" i="3"/>
  <c r="M28" i="3"/>
  <c r="K28" i="3"/>
  <c r="G31" i="3"/>
  <c r="I4" i="3" s="1"/>
  <c r="I31" i="3" s="1"/>
  <c r="F28" i="3"/>
  <c r="Y23" i="3" l="1"/>
  <c r="Z24" i="3"/>
  <c r="I3" i="3"/>
  <c r="P23" i="3"/>
  <c r="N23" i="3"/>
  <c r="O23" i="3"/>
  <c r="C23" i="3" l="1"/>
  <c r="AA24" i="3"/>
  <c r="AA23" i="3" s="1"/>
  <c r="Z23" i="3"/>
  <c r="F23" i="3"/>
  <c r="F3" i="3" l="1"/>
  <c r="F31" i="3" l="1"/>
  <c r="K4" i="3" l="1"/>
  <c r="K3" i="3" l="1"/>
  <c r="N4" i="3" l="1"/>
  <c r="M3" i="3"/>
  <c r="N31" i="3" l="1"/>
  <c r="O4" i="3" s="1"/>
  <c r="N3" i="3"/>
  <c r="O3" i="3" l="1"/>
  <c r="O31" i="3"/>
  <c r="P4" i="3" s="1"/>
  <c r="P31" i="3" l="1"/>
  <c r="Q4" i="3" s="1"/>
  <c r="Q3" i="3" s="1"/>
  <c r="P3" i="3"/>
  <c r="Q31" i="3" l="1"/>
  <c r="R4" i="3" s="1"/>
  <c r="R3" i="3" s="1"/>
  <c r="R31" i="3" l="1"/>
  <c r="S4" i="3" s="1"/>
  <c r="S31" i="3" s="1"/>
  <c r="T4" i="3" s="1"/>
  <c r="T3" i="3" l="1"/>
  <c r="T31" i="3"/>
  <c r="U4" i="3" s="1"/>
  <c r="S3" i="3"/>
  <c r="U3" i="3" l="1"/>
  <c r="U31" i="3"/>
  <c r="V4" i="3" s="1"/>
  <c r="V3" i="3" l="1"/>
  <c r="V31" i="3"/>
  <c r="W4" i="3" s="1"/>
  <c r="W3" i="3" l="1"/>
  <c r="W31" i="3"/>
  <c r="X4" i="3" s="1"/>
  <c r="X3" i="3" l="1"/>
  <c r="X31" i="3"/>
  <c r="Y4" i="3" s="1"/>
  <c r="Y3" i="3" l="1"/>
  <c r="Y31" i="3"/>
  <c r="Z4" i="3" s="1"/>
  <c r="Z31" i="3" l="1"/>
  <c r="AA4" i="3" s="1"/>
  <c r="Z3" i="3"/>
  <c r="AA31" i="3" l="1"/>
  <c r="AA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kuran</author>
  </authors>
  <commentList>
    <comment ref="G14" authorId="0" shapeId="0" xr:uid="{6B04204A-2046-4111-84EA-AAD2DF99B238}">
      <text>
        <r>
          <rPr>
            <b/>
            <sz val="9"/>
            <color rgb="FF000000"/>
            <rFont val="Tahoma"/>
            <family val="2"/>
          </rPr>
          <t>kuran: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Задержка с банком по получению денег. Ждем Survey, это мин неделя от 25 фев </t>
        </r>
      </text>
    </comment>
    <comment ref="G30" authorId="0" shapeId="0" xr:uid="{D5CFD109-17A6-470D-9E2B-6F40C6A467C0}">
      <text>
        <r>
          <rPr>
            <b/>
            <sz val="9"/>
            <color indexed="81"/>
            <rFont val="Tahoma"/>
            <family val="2"/>
          </rPr>
          <t>kuran:</t>
        </r>
        <r>
          <rPr>
            <sz val="9"/>
            <color indexed="81"/>
            <rFont val="Tahoma"/>
            <family val="2"/>
          </rPr>
          <t xml:space="preserve">
Добавила $2625 за  2024 amended tax return</t>
        </r>
      </text>
    </comment>
  </commentList>
</comments>
</file>

<file path=xl/sharedStrings.xml><?xml version="1.0" encoding="utf-8"?>
<sst xmlns="http://schemas.openxmlformats.org/spreadsheetml/2006/main" count="221" uniqueCount="107">
  <si>
    <t>Платежи собственные</t>
  </si>
  <si>
    <t>Зарплата</t>
  </si>
  <si>
    <t>Должны нам</t>
  </si>
  <si>
    <t>212 W Ross Ave, Tampa</t>
  </si>
  <si>
    <t>$ 21,775.00</t>
  </si>
  <si>
    <t>806 1st St, IRB Unit 1</t>
  </si>
  <si>
    <t>$ 13,040.00</t>
  </si>
  <si>
    <t>1425 8th Street, Sarasota</t>
  </si>
  <si>
    <t>$ 10,071.00</t>
  </si>
  <si>
    <t>Total</t>
  </si>
  <si>
    <t>$ 83,341.00</t>
  </si>
  <si>
    <t>не оплачивать</t>
  </si>
  <si>
    <t>Coбственные средства</t>
  </si>
  <si>
    <t xml:space="preserve">GC fee </t>
  </si>
  <si>
    <t>Other</t>
  </si>
  <si>
    <t>Rent</t>
  </si>
  <si>
    <t>Insurances</t>
  </si>
  <si>
    <t>Software</t>
  </si>
  <si>
    <t>Bonuses</t>
  </si>
  <si>
    <t>5964 Bayview</t>
  </si>
  <si>
    <t xml:space="preserve">5966 Bayview </t>
  </si>
  <si>
    <t xml:space="preserve">4219 W Bay </t>
  </si>
  <si>
    <t>4555 26th Ave</t>
  </si>
  <si>
    <t>4527 26th Ave</t>
  </si>
  <si>
    <t>4543 26th Ave</t>
  </si>
  <si>
    <t>4535 26th Ave</t>
  </si>
  <si>
    <t>4517 26th Ave</t>
  </si>
  <si>
    <t>6282 10th Ave</t>
  </si>
  <si>
    <t>6018 Kipps</t>
  </si>
  <si>
    <t>Invoices</t>
  </si>
  <si>
    <t>Remaining to finish construction</t>
  </si>
  <si>
    <t>Credir Card KH Build</t>
  </si>
  <si>
    <t>Available bank limit</t>
  </si>
  <si>
    <t>sold</t>
  </si>
  <si>
    <t>Sale</t>
  </si>
  <si>
    <t>KH Build LLC</t>
  </si>
  <si>
    <t>Paycheck history report</t>
  </si>
  <si>
    <t/>
  </si>
  <si>
    <t>Name</t>
  </si>
  <si>
    <t>Pay method</t>
  </si>
  <si>
    <t>Adams, Richard</t>
  </si>
  <si>
    <t>Direct Deposit</t>
  </si>
  <si>
    <t>Bogomolny, Alexander</t>
  </si>
  <si>
    <t>Gange, Zachary</t>
  </si>
  <si>
    <t>Hostetter, Rubicely</t>
  </si>
  <si>
    <t>Paris, Gregory</t>
  </si>
  <si>
    <t>Santiago, Shaylen</t>
  </si>
  <si>
    <t>Metelskiy, Andrey</t>
  </si>
  <si>
    <t>wire</t>
  </si>
  <si>
    <t>Kuranova, Anastasia</t>
  </si>
  <si>
    <t>Paypal</t>
  </si>
  <si>
    <t>Onoprienko, Olga</t>
  </si>
  <si>
    <t>Danylova, Alena</t>
  </si>
  <si>
    <t>ACH</t>
  </si>
  <si>
    <t xml:space="preserve">Romanovskiy, Alexei </t>
  </si>
  <si>
    <t>Atanov, Artur</t>
  </si>
  <si>
    <t>Paychecks  for all employees from all locations</t>
  </si>
  <si>
    <t>construction license</t>
  </si>
  <si>
    <t>Comments</t>
  </si>
  <si>
    <t>Project Manager</t>
  </si>
  <si>
    <t>Head of Operations</t>
  </si>
  <si>
    <t>Procurement Manager</t>
  </si>
  <si>
    <t>Clients Relationship</t>
  </si>
  <si>
    <t>Financial Controlling</t>
  </si>
  <si>
    <t>Estimations &amp; Contracting</t>
  </si>
  <si>
    <t>Accounting</t>
  </si>
  <si>
    <t>Managing Partner</t>
  </si>
  <si>
    <t>Total pay (with taxes)</t>
  </si>
  <si>
    <t>16112 Redington Dr (Jason Matthews)</t>
  </si>
  <si>
    <t>permitting</t>
  </si>
  <si>
    <t>Data Analyst ($30/h)</t>
  </si>
  <si>
    <t>since 01 Jan</t>
  </si>
  <si>
    <t>Received</t>
  </si>
  <si>
    <t>Not yet</t>
  </si>
  <si>
    <t>#</t>
  </si>
  <si>
    <t>Oстаток в Банке</t>
  </si>
  <si>
    <t>Marketing (web site+SMM)</t>
  </si>
  <si>
    <t>Cyprus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</si>
  <si>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</si>
  <si>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</si>
  <si>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</si>
  <si>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</si>
  <si>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</si>
  <si>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</si>
  <si>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</si>
  <si>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</si>
  <si>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</si>
  <si>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</si>
  <si>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11410 1st St (Kerry Iseghem)</t>
  </si>
  <si>
    <t>1919 Arrowhead (Erica Cavanaugh)</t>
  </si>
  <si>
    <t>408 161st (Matthew Caldwell )</t>
  </si>
  <si>
    <t>428 Bath Club (Carie Randesi)</t>
  </si>
  <si>
    <t>586 182nd (Candice Bray)</t>
  </si>
  <si>
    <t>7840 3rd (Craig Dean)</t>
  </si>
  <si>
    <t>734 Placido Way (Dan Rab)</t>
  </si>
  <si>
    <t>256 Bayside (Ronald Walters)</t>
  </si>
  <si>
    <t>340 Boca Ciega (Marsha Buckley)</t>
  </si>
  <si>
    <t>15500 2nd St  (Jason Matthews)</t>
  </si>
  <si>
    <t>DEC</t>
  </si>
  <si>
    <t>JAN</t>
  </si>
  <si>
    <t>architecture</t>
  </si>
  <si>
    <t>5118 31st Ave S (Karen Hantman)</t>
  </si>
  <si>
    <t>JUNE</t>
  </si>
  <si>
    <t>JULY</t>
  </si>
  <si>
    <t>301 161st Ave, Redington (Jason Matthews)</t>
  </si>
  <si>
    <t>1807 Pass A Grille Way (Victor Tonas)</t>
  </si>
  <si>
    <t>$3k ставка+$3k new soft project (3мес)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</si>
</sst>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[$-C09]dd\-mmm\-yy;@"/>
    <numFmt numFmtId="166" formatCode="_-[$$-C09]* #,##0.00_-;\-[$$-C09]* #,##0.00_-;_-[$$-C09]* &quot;-&quot;??_-;_-@_-"/>
    <numFmt numFmtId="167" formatCode="_-[$$-C09]* #,##0.00_-;\-[$$-C09]* #,##0.00_-;_-[$$-C09]* &quot;-&quot;??_-;_-@"/>
    <numFmt numFmtId="168" formatCode="d\ mmm"/>
    <numFmt numFmtId="169" formatCode="[$$-409]\ ###,##0.00"/>
    <numFmt numFmtId="170" formatCode="_-* #,##0_-;\-* #,##0_-;_-* &quot;-&quot;??_-;_-@_-"/>
  </numFmts>
  <fonts count="40" x14ac:knownFonts="1">
    <font>
      <sz val="12"/>
      <color theme="1"/>
      <name val="Calibri"/>
      <family val="2"/>
      <charset val="204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rgb="FFFF0000"/>
      <name val="Century Gothic"/>
      <family val="2"/>
    </font>
    <font>
      <sz val="8"/>
      <color theme="1"/>
      <name val="Century Gothic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9" tint="-0.249977111117893"/>
      <name val="Century Gothic"/>
      <family val="2"/>
    </font>
    <font>
      <b/>
      <sz val="10"/>
      <color theme="9" tint="-0.249977111117893"/>
      <name val="Century Gothic"/>
      <family val="2"/>
    </font>
    <font>
      <b/>
      <sz val="10"/>
      <color rgb="FFFF0000"/>
      <name val="Century Gothic"/>
      <family val="2"/>
    </font>
    <font>
      <sz val="10"/>
      <color theme="1"/>
      <name val="Century Gothic"/>
      <family val="2"/>
      <charset val="204"/>
    </font>
    <font>
      <b/>
      <sz val="10"/>
      <color theme="1"/>
      <name val="Century Gothic"/>
      <family val="2"/>
      <charset val="204"/>
    </font>
    <font>
      <sz val="10"/>
      <name val="Aptos Narrow"/>
      <family val="2"/>
    </font>
    <font>
      <sz val="10"/>
      <color theme="9" tint="-0.249977111117893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8"/>
      <color indexed="23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name val="Arial"/>
      <family val="2"/>
    </font>
    <font>
      <sz val="10"/>
      <color theme="4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charset val="204"/>
      <scheme val="minor"/>
    </font>
    <font>
      <b/>
      <sz val="11"/>
      <color theme="1"/>
      <name val="Century Gothic"/>
      <family val="1"/>
    </font>
    <font>
      <b/>
      <sz val="12"/>
      <color rgb="FFFFFF00"/>
      <name val="Century Gothic"/>
      <family val="1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0"/>
      <color rgb="FFFFFF00"/>
      <name val="Century Gothic"/>
      <family val="1"/>
    </font>
    <font>
      <sz val="14"/>
      <color theme="1"/>
      <name val="Calibri"/>
      <family val="2"/>
      <charset val="204"/>
      <scheme val="minor"/>
    </font>
    <font>
      <b/>
      <sz val="14"/>
      <color theme="1"/>
      <name val="Century Gothic"/>
      <family val="2"/>
    </font>
    <font>
      <sz val="8"/>
      <name val="Calibri"/>
      <family val="2"/>
      <charset val="204"/>
      <scheme val="minor"/>
    </font>
    <font>
      <b/>
      <sz val="12"/>
      <color rgb="FFC00000"/>
      <name val="Century Gothic"/>
      <family val="2"/>
    </font>
    <font>
      <sz val="12"/>
      <color rgb="FFC00000"/>
      <name val="Century Gothic"/>
      <family val="2"/>
    </font>
    <font>
      <sz val="16"/>
      <color theme="1"/>
      <name val="Calibri"/>
      <family val="2"/>
      <charset val="204"/>
      <scheme val="minor"/>
    </font>
    <font>
      <sz val="10"/>
      <color rgb="FFFFFF00"/>
      <name val="Calibri"/>
      <family val="2"/>
      <charset val="204"/>
      <scheme val="minor"/>
    </font>
    <font>
      <sz val="10"/>
      <color rgb="FFFFFF00"/>
      <name val="Century Gothic"/>
      <family val="2"/>
    </font>
    <font>
      <sz val="12"/>
      <color rgb="FFC00000"/>
      <name val="Calibri"/>
      <family val="2"/>
    </font>
    <font>
      <b/>
      <sz val="14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FF0000"/>
      </top>
      <bottom/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FF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5" fillId="0" borderId="0"/>
    <xf numFmtId="0" fontId="6" fillId="0" borderId="0"/>
    <xf numFmtId="164" fontId="5" fillId="0" borderId="0" applyFont="0" applyFill="0" applyBorder="0" applyAlignment="0" applyProtection="0"/>
    <xf numFmtId="0" fontId="7" fillId="0" borderId="1" applyNumberFormat="0" applyFill="0" applyAlignment="0" applyProtection="0"/>
    <xf numFmtId="43" fontId="24" fillId="0" borderId="0" applyFont="0" applyFill="0" applyBorder="0" applyAlignment="0" applyProtection="0"/>
    <xf numFmtId="9" fontId="24" fillId="0" borderId="0" applyFont="0" applyFill="0" applyBorder="0" applyAlignment="0" applyProtection="0"/>
  </cellStyleXfs>
  <cellXfs count="15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right"/>
    </xf>
    <xf numFmtId="0" fontId="2" fillId="2" borderId="0" xfId="0" applyFont="1" applyFill="1" applyAlignment="1">
      <alignment horizontal="right"/>
    </xf>
    <xf numFmtId="3" fontId="2" fillId="0" borderId="0" xfId="0" applyNumberFormat="1" applyFont="1"/>
    <xf numFmtId="3" fontId="1" fillId="0" borderId="0" xfId="0" applyNumberFormat="1" applyFont="1"/>
    <xf numFmtId="0" fontId="11" fillId="0" borderId="2" xfId="0" applyFont="1" applyBorder="1" applyAlignment="1">
      <alignment wrapText="1"/>
    </xf>
    <xf numFmtId="0" fontId="11" fillId="3" borderId="2" xfId="0" applyFont="1" applyFill="1" applyBorder="1" applyAlignment="1">
      <alignment horizontal="right" wrapText="1"/>
    </xf>
    <xf numFmtId="0" fontId="11" fillId="3" borderId="2" xfId="0" applyFont="1" applyFill="1" applyBorder="1" applyAlignment="1">
      <alignment wrapText="1"/>
    </xf>
    <xf numFmtId="0" fontId="12" fillId="0" borderId="2" xfId="0" applyFont="1" applyBorder="1" applyAlignment="1">
      <alignment horizontal="right" wrapText="1"/>
    </xf>
    <xf numFmtId="0" fontId="0" fillId="4" borderId="0" xfId="0" applyFill="1"/>
    <xf numFmtId="0" fontId="4" fillId="0" borderId="0" xfId="0" applyFont="1" applyAlignment="1">
      <alignment horizontal="right" indent="1"/>
    </xf>
    <xf numFmtId="165" fontId="1" fillId="2" borderId="0" xfId="0" applyNumberFormat="1" applyFont="1" applyFill="1"/>
    <xf numFmtId="3" fontId="12" fillId="0" borderId="0" xfId="0" applyNumberFormat="1" applyFont="1"/>
    <xf numFmtId="0" fontId="2" fillId="0" borderId="0" xfId="0" applyFont="1" applyAlignment="1">
      <alignment horizontal="center"/>
    </xf>
    <xf numFmtId="0" fontId="13" fillId="0" borderId="0" xfId="0" applyFont="1"/>
    <xf numFmtId="166" fontId="3" fillId="0" borderId="0" xfId="0" applyNumberFormat="1" applyFont="1"/>
    <xf numFmtId="166" fontId="3" fillId="5" borderId="0" xfId="0" applyNumberFormat="1" applyFont="1" applyFill="1" applyAlignment="1">
      <alignment horizontal="left"/>
    </xf>
    <xf numFmtId="0" fontId="3" fillId="0" borderId="0" xfId="0" applyFont="1"/>
    <xf numFmtId="166" fontId="3" fillId="0" borderId="4" xfId="0" applyNumberFormat="1" applyFont="1" applyBorder="1"/>
    <xf numFmtId="166" fontId="3" fillId="0" borderId="5" xfId="0" applyNumberFormat="1" applyFont="1" applyBorder="1"/>
    <xf numFmtId="167" fontId="3" fillId="5" borderId="0" xfId="0" applyNumberFormat="1" applyFont="1" applyFill="1" applyAlignment="1">
      <alignment horizontal="left"/>
    </xf>
    <xf numFmtId="166" fontId="3" fillId="0" borderId="6" xfId="0" applyNumberFormat="1" applyFont="1" applyBorder="1"/>
    <xf numFmtId="166" fontId="8" fillId="5" borderId="0" xfId="0" applyNumberFormat="1" applyFont="1" applyFill="1" applyAlignment="1">
      <alignment horizontal="left"/>
    </xf>
    <xf numFmtId="0" fontId="8" fillId="0" borderId="0" xfId="0" applyFont="1"/>
    <xf numFmtId="166" fontId="8" fillId="0" borderId="4" xfId="0" applyNumberFormat="1" applyFont="1" applyBorder="1"/>
    <xf numFmtId="0" fontId="14" fillId="0" borderId="0" xfId="0" applyFont="1"/>
    <xf numFmtId="166" fontId="8" fillId="0" borderId="0" xfId="0" applyNumberFormat="1" applyFont="1"/>
    <xf numFmtId="166" fontId="8" fillId="0" borderId="8" xfId="0" applyNumberFormat="1" applyFont="1" applyBorder="1"/>
    <xf numFmtId="168" fontId="1" fillId="5" borderId="0" xfId="0" applyNumberFormat="1" applyFont="1" applyFill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15" fillId="0" borderId="0" xfId="0" applyFont="1"/>
    <xf numFmtId="0" fontId="2" fillId="0" borderId="3" xfId="0" applyFont="1" applyBorder="1"/>
    <xf numFmtId="0" fontId="2" fillId="5" borderId="3" xfId="0" applyFont="1" applyFill="1" applyBorder="1" applyAlignment="1">
      <alignment horizontal="left"/>
    </xf>
    <xf numFmtId="0" fontId="2" fillId="5" borderId="3" xfId="0" applyFont="1" applyFill="1" applyBorder="1"/>
    <xf numFmtId="166" fontId="10" fillId="0" borderId="7" xfId="0" applyNumberFormat="1" applyFont="1" applyBorder="1"/>
    <xf numFmtId="166" fontId="9" fillId="0" borderId="9" xfId="0" applyNumberFormat="1" applyFont="1" applyBorder="1"/>
    <xf numFmtId="0" fontId="17" fillId="0" borderId="10" xfId="0" applyFont="1" applyBorder="1" applyAlignment="1">
      <alignment horizontal="left"/>
    </xf>
    <xf numFmtId="0" fontId="17" fillId="6" borderId="10" xfId="0" applyFont="1" applyFill="1" applyBorder="1" applyAlignment="1">
      <alignment horizontal="left"/>
    </xf>
    <xf numFmtId="0" fontId="19" fillId="0" borderId="0" xfId="0" applyFont="1" applyAlignment="1">
      <alignment horizontal="left" vertical="top" wrapText="1"/>
    </xf>
    <xf numFmtId="169" fontId="19" fillId="0" borderId="0" xfId="0" applyNumberFormat="1" applyFont="1" applyAlignment="1">
      <alignment horizontal="right"/>
    </xf>
    <xf numFmtId="169" fontId="20" fillId="0" borderId="0" xfId="0" applyNumberFormat="1" applyFont="1"/>
    <xf numFmtId="0" fontId="19" fillId="7" borderId="0" xfId="0" applyFont="1" applyFill="1" applyAlignment="1">
      <alignment horizontal="left" vertical="top" wrapText="1"/>
    </xf>
    <xf numFmtId="169" fontId="19" fillId="7" borderId="0" xfId="0" applyNumberFormat="1" applyFont="1" applyFill="1" applyAlignment="1">
      <alignment horizontal="right"/>
    </xf>
    <xf numFmtId="0" fontId="0" fillId="7" borderId="0" xfId="0" applyFill="1"/>
    <xf numFmtId="0" fontId="0" fillId="0" borderId="13" xfId="0" applyBorder="1"/>
    <xf numFmtId="0" fontId="0" fillId="0" borderId="14" xfId="0" applyBorder="1"/>
    <xf numFmtId="3" fontId="12" fillId="0" borderId="13" xfId="0" applyNumberFormat="1" applyFont="1" applyBorder="1" applyAlignment="1">
      <alignment horizontal="center"/>
    </xf>
    <xf numFmtId="3" fontId="1" fillId="0" borderId="13" xfId="0" applyNumberFormat="1" applyFont="1" applyBorder="1"/>
    <xf numFmtId="0" fontId="1" fillId="0" borderId="13" xfId="0" applyFont="1" applyBorder="1" applyAlignment="1">
      <alignment horizontal="left" indent="1"/>
    </xf>
    <xf numFmtId="0" fontId="1" fillId="0" borderId="14" xfId="0" applyFont="1" applyBorder="1" applyAlignment="1">
      <alignment horizontal="left" indent="1"/>
    </xf>
    <xf numFmtId="3" fontId="1" fillId="0" borderId="16" xfId="0" applyNumberFormat="1" applyFont="1" applyBorder="1" applyAlignment="1">
      <alignment horizontal="left"/>
    </xf>
    <xf numFmtId="0" fontId="0" fillId="0" borderId="17" xfId="0" applyBorder="1"/>
    <xf numFmtId="3" fontId="3" fillId="0" borderId="18" xfId="0" applyNumberFormat="1" applyFont="1" applyBorder="1"/>
    <xf numFmtId="0" fontId="19" fillId="8" borderId="0" xfId="0" applyFont="1" applyFill="1" applyAlignment="1">
      <alignment horizontal="left" vertical="top" wrapText="1"/>
    </xf>
    <xf numFmtId="169" fontId="19" fillId="8" borderId="0" xfId="0" applyNumberFormat="1" applyFont="1" applyFill="1" applyAlignment="1">
      <alignment horizontal="right"/>
    </xf>
    <xf numFmtId="0" fontId="0" fillId="8" borderId="0" xfId="0" applyFill="1"/>
    <xf numFmtId="3" fontId="2" fillId="9" borderId="0" xfId="0" applyNumberFormat="1" applyFont="1" applyFill="1"/>
    <xf numFmtId="3" fontId="1" fillId="9" borderId="0" xfId="0" applyNumberFormat="1" applyFont="1" applyFill="1"/>
    <xf numFmtId="0" fontId="0" fillId="9" borderId="0" xfId="0" applyFill="1"/>
    <xf numFmtId="3" fontId="12" fillId="9" borderId="0" xfId="0" applyNumberFormat="1" applyFont="1" applyFill="1"/>
    <xf numFmtId="3" fontId="4" fillId="9" borderId="0" xfId="0" applyNumberFormat="1" applyFont="1" applyFill="1"/>
    <xf numFmtId="0" fontId="2" fillId="4" borderId="0" xfId="0" applyFont="1" applyFill="1" applyAlignment="1">
      <alignment horizontal="right"/>
    </xf>
    <xf numFmtId="0" fontId="1" fillId="4" borderId="0" xfId="0" applyFont="1" applyFill="1" applyAlignment="1">
      <alignment horizontal="left" indent="1"/>
    </xf>
    <xf numFmtId="0" fontId="1" fillId="4" borderId="0" xfId="0" applyFont="1" applyFill="1" applyAlignment="1">
      <alignment horizontal="right"/>
    </xf>
    <xf numFmtId="170" fontId="25" fillId="4" borderId="0" xfId="5" applyNumberFormat="1" applyFont="1" applyFill="1" applyAlignment="1">
      <alignment horizontal="right" indent="1"/>
    </xf>
    <xf numFmtId="165" fontId="29" fillId="10" borderId="0" xfId="0" applyNumberFormat="1" applyFont="1" applyFill="1" applyAlignment="1">
      <alignment horizontal="center"/>
    </xf>
    <xf numFmtId="170" fontId="26" fillId="11" borderId="9" xfId="0" applyNumberFormat="1" applyFont="1" applyFill="1" applyBorder="1" applyAlignment="1">
      <alignment horizontal="left" indent="1"/>
    </xf>
    <xf numFmtId="170" fontId="26" fillId="12" borderId="9" xfId="0" applyNumberFormat="1" applyFont="1" applyFill="1" applyBorder="1" applyAlignment="1">
      <alignment horizontal="left" indent="1"/>
    </xf>
    <xf numFmtId="0" fontId="30" fillId="0" borderId="0" xfId="0" applyFont="1"/>
    <xf numFmtId="0" fontId="31" fillId="2" borderId="0" xfId="0" applyFont="1" applyFill="1" applyAlignment="1">
      <alignment horizontal="right"/>
    </xf>
    <xf numFmtId="170" fontId="31" fillId="4" borderId="0" xfId="0" applyNumberFormat="1" applyFont="1" applyFill="1" applyAlignment="1">
      <alignment horizontal="right"/>
    </xf>
    <xf numFmtId="3" fontId="31" fillId="9" borderId="0" xfId="0" applyNumberFormat="1" applyFont="1" applyFill="1"/>
    <xf numFmtId="3" fontId="31" fillId="0" borderId="0" xfId="0" applyNumberFormat="1" applyFont="1"/>
    <xf numFmtId="3" fontId="12" fillId="0" borderId="0" xfId="0" applyNumberFormat="1" applyFont="1" applyAlignment="1">
      <alignment horizontal="center"/>
    </xf>
    <xf numFmtId="3" fontId="21" fillId="0" borderId="0" xfId="0" applyNumberFormat="1" applyFont="1"/>
    <xf numFmtId="3" fontId="1" fillId="0" borderId="0" xfId="0" applyNumberFormat="1" applyFont="1" applyAlignment="1">
      <alignment horizontal="left"/>
    </xf>
    <xf numFmtId="3" fontId="8" fillId="0" borderId="20" xfId="0" applyNumberFormat="1" applyFont="1" applyBorder="1"/>
    <xf numFmtId="3" fontId="8" fillId="0" borderId="13" xfId="0" applyNumberFormat="1" applyFont="1" applyBorder="1"/>
    <xf numFmtId="3" fontId="1" fillId="0" borderId="13" xfId="0" applyNumberFormat="1" applyFont="1" applyBorder="1" applyAlignment="1">
      <alignment horizontal="left"/>
    </xf>
    <xf numFmtId="0" fontId="0" fillId="8" borderId="0" xfId="0" applyFill="1" applyAlignment="1">
      <alignment vertical="top"/>
    </xf>
    <xf numFmtId="165" fontId="29" fillId="10" borderId="0" xfId="0" applyNumberFormat="1" applyFont="1" applyFill="1" applyAlignment="1">
      <alignment horizontal="center"/>
    </xf>
    <xf numFmtId="3" fontId="31" fillId="0" borderId="11" xfId="0" applyNumberFormat="1" applyFont="1" applyBorder="1" applyAlignment="1">
      <alignment horizontal="center"/>
    </xf>
    <xf numFmtId="3" fontId="31" fillId="0" borderId="19" xfId="0" applyNumberFormat="1" applyFont="1" applyBorder="1" applyAlignment="1">
      <alignment horizontal="center"/>
    </xf>
    <xf numFmtId="3" fontId="1" fillId="0" borderId="13" xfId="0" applyNumberFormat="1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3" fontId="2" fillId="0" borderId="13" xfId="0" applyNumberFormat="1" applyFont="1" applyBorder="1" applyAlignment="1">
      <alignment horizontal="center"/>
    </xf>
    <xf numFmtId="3" fontId="2" fillId="0" borderId="0" xfId="0" applyNumberFormat="1" applyFont="1" applyAlignment="1">
      <alignment horizontal="center"/>
    </xf>
    <xf numFmtId="3" fontId="1" fillId="0" borderId="8" xfId="0" applyNumberFormat="1" applyFont="1" applyBorder="1" applyAlignment="1">
      <alignment horizontal="center"/>
    </xf>
    <xf numFmtId="3" fontId="1" fillId="0" borderId="21" xfId="0" applyNumberFormat="1" applyFont="1" applyBorder="1" applyAlignment="1">
      <alignment horizontal="center"/>
    </xf>
    <xf numFmtId="3" fontId="1" fillId="0" borderId="5" xfId="0" applyNumberFormat="1" applyFont="1" applyBorder="1" applyAlignment="1">
      <alignment horizontal="center"/>
    </xf>
    <xf numFmtId="3" fontId="31" fillId="0" borderId="12" xfId="0" applyNumberFormat="1" applyFont="1" applyBorder="1" applyAlignment="1">
      <alignment horizontal="center"/>
    </xf>
    <xf numFmtId="3" fontId="2" fillId="0" borderId="14" xfId="0" applyNumberFormat="1" applyFont="1" applyBorder="1" applyAlignment="1">
      <alignment horizontal="center"/>
    </xf>
    <xf numFmtId="0" fontId="16" fillId="0" borderId="0" xfId="0" applyFont="1" applyAlignment="1">
      <alignment horizontal="left"/>
    </xf>
    <xf numFmtId="0" fontId="0" fillId="0" borderId="0" xfId="0"/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170" fontId="25" fillId="13" borderId="0" xfId="5" applyNumberFormat="1" applyFont="1" applyFill="1" applyAlignment="1">
      <alignment horizontal="right" indent="1"/>
    </xf>
    <xf numFmtId="3" fontId="12" fillId="14" borderId="13" xfId="0" applyNumberFormat="1" applyFont="1" applyFill="1" applyBorder="1" applyAlignment="1">
      <alignment horizontal="center"/>
    </xf>
    <xf numFmtId="3" fontId="12" fillId="14" borderId="0" xfId="0" applyNumberFormat="1" applyFont="1" applyFill="1"/>
    <xf numFmtId="3" fontId="1" fillId="14" borderId="13" xfId="0" applyNumberFormat="1" applyFont="1" applyFill="1" applyBorder="1"/>
    <xf numFmtId="3" fontId="1" fillId="14" borderId="14" xfId="0" applyNumberFormat="1" applyFont="1" applyFill="1" applyBorder="1"/>
    <xf numFmtId="3" fontId="1" fillId="14" borderId="0" xfId="0" applyNumberFormat="1" applyFont="1" applyFill="1"/>
    <xf numFmtId="0" fontId="0" fillId="14" borderId="0" xfId="0" applyFill="1"/>
    <xf numFmtId="3" fontId="0" fillId="14" borderId="0" xfId="0" applyNumberFormat="1" applyFill="1"/>
    <xf numFmtId="0" fontId="0" fillId="14" borderId="13" xfId="0" applyFill="1" applyBorder="1"/>
    <xf numFmtId="0" fontId="0" fillId="14" borderId="14" xfId="0" applyFill="1" applyBorder="1"/>
    <xf numFmtId="3" fontId="1" fillId="14" borderId="13" xfId="0" applyNumberFormat="1" applyFont="1" applyFill="1" applyBorder="1" applyAlignment="1">
      <alignment horizontal="center"/>
    </xf>
    <xf numFmtId="3" fontId="1" fillId="14" borderId="14" xfId="0" applyNumberFormat="1" applyFont="1" applyFill="1" applyBorder="1" applyAlignment="1">
      <alignment horizontal="center"/>
    </xf>
    <xf numFmtId="3" fontId="1" fillId="14" borderId="14" xfId="0" applyNumberFormat="1" applyFont="1" applyFill="1" applyBorder="1" applyAlignment="1">
      <alignment horizontal="right"/>
    </xf>
    <xf numFmtId="3" fontId="1" fillId="15" borderId="13" xfId="0" applyNumberFormat="1" applyFont="1" applyFill="1" applyBorder="1" applyAlignment="1">
      <alignment horizontal="center"/>
    </xf>
    <xf numFmtId="3" fontId="1" fillId="15" borderId="14" xfId="0" applyNumberFormat="1" applyFont="1" applyFill="1" applyBorder="1" applyAlignment="1">
      <alignment horizontal="center"/>
    </xf>
    <xf numFmtId="3" fontId="1" fillId="15" borderId="0" xfId="0" applyNumberFormat="1" applyFont="1" applyFill="1"/>
    <xf numFmtId="0" fontId="0" fillId="15" borderId="0" xfId="0" applyFill="1"/>
    <xf numFmtId="3" fontId="1" fillId="15" borderId="8" xfId="0" applyNumberFormat="1" applyFont="1" applyFill="1" applyBorder="1" applyAlignment="1">
      <alignment horizontal="center"/>
    </xf>
    <xf numFmtId="3" fontId="1" fillId="15" borderId="15" xfId="0" applyNumberFormat="1" applyFont="1" applyFill="1" applyBorder="1" applyAlignment="1">
      <alignment horizontal="center"/>
    </xf>
    <xf numFmtId="3" fontId="33" fillId="14" borderId="14" xfId="0" applyNumberFormat="1" applyFont="1" applyFill="1" applyBorder="1"/>
    <xf numFmtId="3" fontId="34" fillId="14" borderId="14" xfId="0" applyNumberFormat="1" applyFont="1" applyFill="1" applyBorder="1"/>
    <xf numFmtId="9" fontId="35" fillId="0" borderId="0" xfId="6" applyFont="1"/>
    <xf numFmtId="0" fontId="36" fillId="16" borderId="0" xfId="0" applyFont="1" applyFill="1"/>
    <xf numFmtId="3" fontId="37" fillId="16" borderId="0" xfId="0" applyNumberFormat="1" applyFont="1" applyFill="1"/>
    <xf numFmtId="3" fontId="37" fillId="16" borderId="8" xfId="0" applyNumberFormat="1" applyFont="1" applyFill="1" applyBorder="1" applyAlignment="1">
      <alignment horizontal="center"/>
    </xf>
    <xf numFmtId="3" fontId="37" fillId="16" borderId="15" xfId="0" applyNumberFormat="1" applyFont="1" applyFill="1" applyBorder="1" applyAlignment="1">
      <alignment horizontal="center"/>
    </xf>
    <xf numFmtId="3" fontId="37" fillId="16" borderId="21" xfId="0" applyNumberFormat="1" applyFont="1" applyFill="1" applyBorder="1" applyAlignment="1">
      <alignment horizontal="center"/>
    </xf>
    <xf numFmtId="3" fontId="37" fillId="16" borderId="22" xfId="0" applyNumberFormat="1" applyFont="1" applyFill="1" applyBorder="1" applyAlignment="1">
      <alignment horizontal="center" vertical="center"/>
    </xf>
    <xf numFmtId="3" fontId="37" fillId="16" borderId="23" xfId="0" applyNumberFormat="1" applyFont="1" applyFill="1" applyBorder="1" applyAlignment="1">
      <alignment horizontal="center" vertical="center"/>
    </xf>
    <xf numFmtId="3" fontId="37" fillId="16" borderId="13" xfId="0" applyNumberFormat="1" applyFont="1" applyFill="1" applyBorder="1" applyAlignment="1">
      <alignment horizontal="center"/>
    </xf>
    <xf numFmtId="3" fontId="37" fillId="16" borderId="14" xfId="0" applyNumberFormat="1" applyFont="1" applyFill="1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0" xfId="0" applyBorder="1"/>
    <xf numFmtId="0" fontId="0" fillId="0" borderId="28" xfId="0" applyBorder="1"/>
    <xf numFmtId="0" fontId="18" fillId="0" borderId="27" xfId="0" applyFont="1" applyBorder="1" applyAlignment="1">
      <alignment horizontal="left"/>
    </xf>
    <xf numFmtId="0" fontId="0" fillId="0" borderId="0" xfId="0" applyBorder="1"/>
    <xf numFmtId="0" fontId="17" fillId="0" borderId="29" xfId="0" applyFont="1" applyBorder="1" applyAlignment="1">
      <alignment horizontal="left"/>
    </xf>
    <xf numFmtId="0" fontId="19" fillId="0" borderId="27" xfId="0" applyFont="1" applyBorder="1" applyAlignment="1">
      <alignment horizontal="left" vertical="top" wrapText="1"/>
    </xf>
    <xf numFmtId="0" fontId="19" fillId="0" borderId="0" xfId="0" applyFont="1" applyBorder="1" applyAlignment="1">
      <alignment horizontal="left" vertical="top" wrapText="1"/>
    </xf>
    <xf numFmtId="169" fontId="19" fillId="0" borderId="0" xfId="0" applyNumberFormat="1" applyFont="1" applyBorder="1" applyAlignment="1">
      <alignment horizontal="right"/>
    </xf>
    <xf numFmtId="0" fontId="19" fillId="8" borderId="0" xfId="0" applyFont="1" applyFill="1" applyBorder="1" applyAlignment="1">
      <alignment horizontal="left" vertical="top" wrapText="1"/>
    </xf>
    <xf numFmtId="169" fontId="19" fillId="8" borderId="0" xfId="0" applyNumberFormat="1" applyFont="1" applyFill="1" applyBorder="1" applyAlignment="1">
      <alignment horizontal="right"/>
    </xf>
    <xf numFmtId="0" fontId="0" fillId="8" borderId="0" xfId="0" applyFill="1" applyBorder="1"/>
    <xf numFmtId="169" fontId="38" fillId="8" borderId="0" xfId="0" applyNumberFormat="1" applyFont="1" applyFill="1" applyBorder="1" applyAlignment="1">
      <alignment horizontal="right"/>
    </xf>
    <xf numFmtId="0" fontId="0" fillId="8" borderId="0" xfId="0" applyFill="1" applyBorder="1" applyAlignment="1">
      <alignment vertical="top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169" fontId="39" fillId="0" borderId="0" xfId="0" applyNumberFormat="1" applyFont="1" applyBorder="1"/>
  </cellXfs>
  <cellStyles count="7">
    <cellStyle name="Грошовий 2" xfId="3" xr:uid="{05D6EB92-B268-47B5-AD1F-25215A0D36EE}"/>
    <cellStyle name="Звичайний 2" xfId="1" xr:uid="{44AF0D87-1493-490A-B044-78E4BDE4F7CA}"/>
    <cellStyle name="Обычный" xfId="0" builtinId="0"/>
    <cellStyle name="Підсумок 2" xfId="4" xr:uid="{9D1E0F7D-09FD-4330-A459-CFB9C9D63911}"/>
    <cellStyle name="Процентный" xfId="6" builtinId="5"/>
    <cellStyle name="Финансовый" xfId="5" builtinId="3"/>
    <cellStyle name="Normal 2" xfId="2" xr:uid="{6A911D3F-C723-4236-AD8F-90D5385AAE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14D6F-BF9C-4142-9DE7-BDACFD33857F}">
  <dimension ref="A2:AB34"/>
  <sheetViews>
    <sheetView showGridLines="0" tabSelected="1" zoomScale="85" zoomScaleNormal="85" workbookViewId="0">
      <pane xSplit="2" topLeftCell="C1" activePane="topRight" state="frozen"/>
      <selection pane="topRight" activeCell="L37" sqref="L37"/>
    </sheetView>
  </sheetViews>
  <sheetFormatPr baseColWidth="10" defaultColWidth="8.83203125" defaultRowHeight="16" outlineLevelCol="1" x14ac:dyDescent="0.2"/>
  <cols>
    <col min="1" max="1" width="4.1640625" customWidth="1"/>
    <col min="2" max="2" width="29.6640625" customWidth="1"/>
    <col min="3" max="3" width="13.83203125" customWidth="1"/>
    <col min="4" max="5" width="10.1640625" hidden="1" customWidth="1" outlineLevel="1"/>
    <col min="6" max="6" width="9.33203125" hidden="1" customWidth="1" outlineLevel="1"/>
    <col min="7" max="7" width="8.6640625" hidden="1" customWidth="1" outlineLevel="1"/>
    <col min="8" max="8" width="7.83203125" hidden="1" customWidth="1" outlineLevel="1"/>
    <col min="9" max="9" width="9.6640625" hidden="1" customWidth="1" outlineLevel="1"/>
    <col min="10" max="10" width="7.6640625" hidden="1" customWidth="1" outlineLevel="1"/>
    <col min="11" max="11" width="8.5" customWidth="1" collapsed="1"/>
    <col min="12" max="12" width="10.6640625" customWidth="1"/>
    <col min="13" max="13" width="11.1640625" customWidth="1"/>
    <col min="14" max="14" width="11.83203125" customWidth="1"/>
    <col min="15" max="15" width="12.1640625" customWidth="1"/>
    <col min="16" max="16" width="11.83203125" customWidth="1"/>
    <col min="17" max="17" width="12.33203125" customWidth="1"/>
    <col min="18" max="19" width="12.1640625" bestFit="1" customWidth="1"/>
    <col min="20" max="20" width="10.6640625" customWidth="1"/>
    <col min="21" max="21" width="11" customWidth="1"/>
    <col min="22" max="22" width="11.1640625" customWidth="1"/>
    <col min="23" max="23" width="11.5" customWidth="1"/>
    <col min="24" max="24" width="10.83203125" customWidth="1"/>
    <col min="25" max="25" width="10.1640625" bestFit="1" customWidth="1"/>
    <col min="26" max="26" width="10.83203125" customWidth="1"/>
    <col min="27" max="27" width="10.6640625" customWidth="1"/>
  </cols>
  <sheetData>
    <row r="2" spans="1:27" x14ac:dyDescent="0.2">
      <c r="C2" s="11"/>
      <c r="D2" s="13">
        <v>45984</v>
      </c>
      <c r="E2" s="13">
        <v>46014</v>
      </c>
      <c r="F2" s="13">
        <v>46023</v>
      </c>
      <c r="G2" s="84" t="s">
        <v>78</v>
      </c>
      <c r="H2" s="84"/>
      <c r="I2" s="84" t="s">
        <v>79</v>
      </c>
      <c r="J2" s="84" t="s">
        <v>79</v>
      </c>
      <c r="K2" s="84" t="s">
        <v>80</v>
      </c>
      <c r="L2" s="84" t="s">
        <v>80</v>
      </c>
      <c r="M2" s="69" t="s">
        <v>81</v>
      </c>
      <c r="N2" s="69" t="s">
        <v>82</v>
      </c>
      <c r="O2" s="69" t="s">
        <v>83</v>
      </c>
      <c r="P2" s="69" t="s">
        <v>84</v>
      </c>
      <c r="Q2" s="69" t="s">
        <v>85</v>
      </c>
      <c r="R2" s="69" t="s">
        <v>86</v>
      </c>
      <c r="S2" s="69" t="s">
        <v>87</v>
      </c>
      <c r="T2" s="69" t="s">
        <v>98</v>
      </c>
      <c r="U2" s="69" t="s">
        <v>99</v>
      </c>
      <c r="V2" s="69" t="s">
        <v>78</v>
      </c>
      <c r="W2" s="69" t="s">
        <v>79</v>
      </c>
      <c r="X2" s="69" t="s">
        <v>80</v>
      </c>
      <c r="Y2" s="69" t="s">
        <v>81</v>
      </c>
      <c r="Z2" s="69" t="s">
        <v>102</v>
      </c>
      <c r="AA2" s="69" t="s">
        <v>103</v>
      </c>
    </row>
    <row r="3" spans="1:27" s="72" customFormat="1" ht="19" x14ac:dyDescent="0.25">
      <c r="B3" s="73" t="s">
        <v>75</v>
      </c>
      <c r="C3" s="74"/>
      <c r="D3" s="75">
        <f>SUM(D4:D4)</f>
        <v>0</v>
      </c>
      <c r="E3" s="75">
        <f>SUM(E4:E4)</f>
        <v>79006</v>
      </c>
      <c r="F3" s="75">
        <f t="shared" ref="F3:AA3" si="0">SUM(F4:F4)</f>
        <v>29720</v>
      </c>
      <c r="G3" s="85">
        <f>SUM(G4:G4)</f>
        <v>41131</v>
      </c>
      <c r="H3" s="86"/>
      <c r="I3" s="85">
        <f>SUM(I4:I4)</f>
        <v>66777.679999999993</v>
      </c>
      <c r="J3" s="86"/>
      <c r="K3" s="85">
        <f>SUM(K4:K4)</f>
        <v>68827.679999999993</v>
      </c>
      <c r="L3" s="94"/>
      <c r="M3" s="76">
        <f t="shared" si="0"/>
        <v>116990.56536000001</v>
      </c>
      <c r="N3" s="76">
        <f t="shared" si="0"/>
        <v>237586.44536000001</v>
      </c>
      <c r="O3" s="76">
        <f t="shared" si="0"/>
        <v>367077.07392</v>
      </c>
      <c r="P3" s="76">
        <f>SUM(P4:P4)</f>
        <v>454641.85762000002</v>
      </c>
      <c r="Q3" s="76">
        <f t="shared" si="0"/>
        <v>539142.35361999995</v>
      </c>
      <c r="R3" s="76">
        <f t="shared" si="0"/>
        <v>633568.83043999993</v>
      </c>
      <c r="S3" s="76">
        <f t="shared" si="0"/>
        <v>710270.30502999993</v>
      </c>
      <c r="T3" s="76">
        <f t="shared" si="0"/>
        <v>761294.82102999999</v>
      </c>
      <c r="U3" s="76">
        <f t="shared" si="0"/>
        <v>789623.85803</v>
      </c>
      <c r="V3" s="76">
        <f t="shared" si="0"/>
        <v>797657.65803000005</v>
      </c>
      <c r="W3" s="76">
        <f t="shared" si="0"/>
        <v>817943.4580300001</v>
      </c>
      <c r="X3" s="76">
        <f t="shared" si="0"/>
        <v>807477.25803000014</v>
      </c>
      <c r="Y3" s="76">
        <f t="shared" si="0"/>
        <v>798676.05803000019</v>
      </c>
      <c r="Z3" s="76">
        <f t="shared" si="0"/>
        <v>769961.85803000024</v>
      </c>
      <c r="AA3" s="76">
        <f t="shared" si="0"/>
        <v>740747.65803000028</v>
      </c>
    </row>
    <row r="4" spans="1:27" x14ac:dyDescent="0.2">
      <c r="B4" s="2" t="s">
        <v>12</v>
      </c>
      <c r="C4" s="66"/>
      <c r="D4" s="61"/>
      <c r="E4" s="61">
        <v>79006</v>
      </c>
      <c r="F4" s="61">
        <v>29720</v>
      </c>
      <c r="G4" s="87">
        <v>41131</v>
      </c>
      <c r="H4" s="88"/>
      <c r="I4" s="87">
        <f>G31</f>
        <v>66777.679999999993</v>
      </c>
      <c r="J4" s="88"/>
      <c r="K4" s="129">
        <f>I31</f>
        <v>68827.679999999993</v>
      </c>
      <c r="L4" s="130"/>
      <c r="M4" s="123">
        <f>K31</f>
        <v>116990.56536000001</v>
      </c>
      <c r="N4" s="123">
        <f t="shared" ref="N4:P4" si="1">M31</f>
        <v>237586.44536000001</v>
      </c>
      <c r="O4" s="123">
        <f t="shared" si="1"/>
        <v>367077.07392</v>
      </c>
      <c r="P4" s="123">
        <f t="shared" si="1"/>
        <v>454641.85762000002</v>
      </c>
      <c r="Q4" s="123">
        <f t="shared" ref="Q4" si="2">P31</f>
        <v>539142.35361999995</v>
      </c>
      <c r="R4" s="123">
        <f t="shared" ref="R4:T4" si="3">Q31</f>
        <v>633568.83043999993</v>
      </c>
      <c r="S4" s="123">
        <f t="shared" si="3"/>
        <v>710270.30502999993</v>
      </c>
      <c r="T4" s="123">
        <f t="shared" si="3"/>
        <v>761294.82102999999</v>
      </c>
      <c r="U4" s="123">
        <f t="shared" ref="U4" si="4">T31</f>
        <v>789623.85803</v>
      </c>
      <c r="V4" s="123">
        <f t="shared" ref="V4" si="5">U31</f>
        <v>797657.65803000005</v>
      </c>
      <c r="W4" s="123">
        <f t="shared" ref="W4" si="6">V31</f>
        <v>817943.4580300001</v>
      </c>
      <c r="X4" s="123">
        <f t="shared" ref="X4" si="7">W31</f>
        <v>807477.25803000014</v>
      </c>
      <c r="Y4" s="123">
        <f t="shared" ref="Y4" si="8">X31</f>
        <v>798676.05803000019</v>
      </c>
      <c r="Z4" s="123">
        <f t="shared" ref="Z4" si="9">Y31</f>
        <v>769961.85803000024</v>
      </c>
      <c r="AA4" s="123">
        <f t="shared" ref="AA4" si="10">Z31</f>
        <v>740747.65803000028</v>
      </c>
    </row>
    <row r="5" spans="1:27" x14ac:dyDescent="0.2">
      <c r="C5" s="11"/>
      <c r="D5" s="62"/>
      <c r="E5" s="62"/>
      <c r="F5" s="62"/>
      <c r="G5" s="48"/>
      <c r="I5" s="48"/>
      <c r="K5" s="48"/>
      <c r="L5" s="49"/>
    </row>
    <row r="6" spans="1:27" ht="17" thickBot="1" x14ac:dyDescent="0.25">
      <c r="A6" s="4" t="s">
        <v>74</v>
      </c>
      <c r="B6" s="4" t="s">
        <v>2</v>
      </c>
      <c r="C6" s="65"/>
      <c r="D6" s="62"/>
      <c r="E6" s="62"/>
      <c r="F6" s="62"/>
      <c r="G6" s="52" t="s">
        <v>72</v>
      </c>
      <c r="H6" s="2" t="s">
        <v>73</v>
      </c>
      <c r="I6" s="52" t="s">
        <v>72</v>
      </c>
      <c r="J6" s="2" t="s">
        <v>73</v>
      </c>
      <c r="K6" s="52" t="s">
        <v>72</v>
      </c>
      <c r="L6" s="53" t="s">
        <v>73</v>
      </c>
    </row>
    <row r="7" spans="1:27" ht="17" thickBot="1" x14ac:dyDescent="0.25">
      <c r="B7" s="2" t="s">
        <v>13</v>
      </c>
      <c r="C7" s="70">
        <f>SUM(C8:C21)</f>
        <v>1990147.9780299999</v>
      </c>
      <c r="D7" s="63">
        <f>SUM(D8:D17)</f>
        <v>21006</v>
      </c>
      <c r="E7" s="63">
        <f>SUM(E8:E17)</f>
        <v>0</v>
      </c>
      <c r="F7" s="63">
        <f t="shared" ref="F7:H7" si="11">SUM(F8:F17)</f>
        <v>90920</v>
      </c>
      <c r="G7" s="50">
        <f t="shared" si="11"/>
        <v>98637</v>
      </c>
      <c r="H7" s="77">
        <f t="shared" si="11"/>
        <v>0</v>
      </c>
      <c r="I7" s="50">
        <f>SUM(I8:I17)</f>
        <v>104452</v>
      </c>
      <c r="J7" s="14">
        <f>SUM(J8:J17)</f>
        <v>0</v>
      </c>
      <c r="K7" s="101">
        <f>SUM(K8:K19)</f>
        <v>18923.89</v>
      </c>
      <c r="L7" s="119">
        <f>SUM(L8:L17)</f>
        <v>115453.19536000001</v>
      </c>
      <c r="M7" s="102">
        <f>SUM(M8:M20)</f>
        <v>181810.08</v>
      </c>
      <c r="N7" s="102">
        <f>SUM(N8:N21)</f>
        <v>194704.82855999999</v>
      </c>
      <c r="O7" s="102">
        <f t="shared" ref="O7:S7" si="12">SUM(O8:O21)</f>
        <v>160778.98370000001</v>
      </c>
      <c r="P7" s="102">
        <f t="shared" si="12"/>
        <v>157714.696</v>
      </c>
      <c r="Q7" s="102">
        <f t="shared" si="12"/>
        <v>155640.67681999999</v>
      </c>
      <c r="R7" s="102">
        <f t="shared" si="12"/>
        <v>139915.67459000001</v>
      </c>
      <c r="S7" s="102">
        <f t="shared" si="12"/>
        <v>112238.716</v>
      </c>
      <c r="T7" s="102">
        <f>SUM(T8:T21)</f>
        <v>89543.236999999994</v>
      </c>
      <c r="U7" s="102">
        <f t="shared" ref="U7" si="13">SUM(U8:U21)</f>
        <v>69248</v>
      </c>
      <c r="V7" s="102">
        <f>SUM(V8:V21)</f>
        <v>81500</v>
      </c>
      <c r="W7" s="102">
        <f t="shared" ref="W7" si="14">SUM(W8:W21)</f>
        <v>50748</v>
      </c>
      <c r="X7" s="102">
        <f t="shared" ref="X7" si="15">SUM(X8:X21)</f>
        <v>52413</v>
      </c>
      <c r="Y7" s="102">
        <f t="shared" ref="Y7" si="16">SUM(Y8:Y21)</f>
        <v>32500</v>
      </c>
      <c r="Z7" s="102">
        <f t="shared" ref="Z7" si="17">SUM(Z8:Z21)</f>
        <v>32000</v>
      </c>
      <c r="AA7" s="102">
        <f t="shared" ref="AA7" si="18">SUM(AA8:AA21)</f>
        <v>30000</v>
      </c>
    </row>
    <row r="8" spans="1:27" x14ac:dyDescent="0.2">
      <c r="A8" s="12">
        <v>1</v>
      </c>
      <c r="B8" s="12" t="s">
        <v>89</v>
      </c>
      <c r="C8" s="68">
        <f>SUM(E8:S8)</f>
        <v>118967.5748</v>
      </c>
      <c r="D8" s="62"/>
      <c r="E8" s="62"/>
      <c r="F8" s="62"/>
      <c r="G8" s="51">
        <v>26523</v>
      </c>
      <c r="H8" s="6"/>
      <c r="I8" s="51">
        <v>23395</v>
      </c>
      <c r="J8" s="6"/>
      <c r="K8" s="103"/>
      <c r="L8" s="120">
        <v>18248</v>
      </c>
      <c r="M8" s="105">
        <v>18248</v>
      </c>
      <c r="N8" s="105">
        <v>8944.8428000000022</v>
      </c>
      <c r="O8" s="105">
        <v>9899</v>
      </c>
      <c r="P8" s="105">
        <v>7354.9660000000003</v>
      </c>
      <c r="Q8" s="105">
        <v>6354.7660000000005</v>
      </c>
      <c r="R8" s="106"/>
      <c r="S8" s="105"/>
      <c r="T8" s="107"/>
      <c r="U8" s="106"/>
      <c r="V8" s="106"/>
      <c r="W8" s="106"/>
      <c r="X8" s="106"/>
      <c r="Y8" s="106"/>
      <c r="Z8" s="106"/>
      <c r="AA8" s="106"/>
    </row>
    <row r="9" spans="1:27" x14ac:dyDescent="0.2">
      <c r="A9" s="12">
        <v>2</v>
      </c>
      <c r="B9" s="12" t="s">
        <v>90</v>
      </c>
      <c r="C9" s="68">
        <f>SUM(E9:S9)</f>
        <v>102467.41680000001</v>
      </c>
      <c r="D9" s="62"/>
      <c r="E9" s="62"/>
      <c r="F9" s="62"/>
      <c r="G9" s="51">
        <v>10189</v>
      </c>
      <c r="I9" s="48"/>
      <c r="K9" s="108"/>
      <c r="L9" s="120">
        <v>10917</v>
      </c>
      <c r="M9" s="105">
        <v>12483</v>
      </c>
      <c r="N9" s="105">
        <v>12483</v>
      </c>
      <c r="O9" s="105">
        <v>19261.056800000002</v>
      </c>
      <c r="P9" s="105">
        <v>13697.88</v>
      </c>
      <c r="Q9" s="105">
        <v>12518.480000000001</v>
      </c>
      <c r="R9" s="105">
        <v>10918</v>
      </c>
      <c r="S9" s="106"/>
      <c r="T9" s="106"/>
      <c r="U9" s="106"/>
      <c r="V9" s="106"/>
      <c r="W9" s="106"/>
      <c r="X9" s="106"/>
      <c r="Y9" s="106"/>
      <c r="Z9" s="106"/>
      <c r="AA9" s="106"/>
    </row>
    <row r="10" spans="1:27" x14ac:dyDescent="0.2">
      <c r="A10" s="12">
        <v>3</v>
      </c>
      <c r="B10" s="12" t="s">
        <v>91</v>
      </c>
      <c r="C10" s="68">
        <f>SUM(E10:S10)</f>
        <v>141079</v>
      </c>
      <c r="D10" s="61"/>
      <c r="E10" s="61"/>
      <c r="F10" s="61">
        <v>54483</v>
      </c>
      <c r="G10" s="48"/>
      <c r="H10" s="6"/>
      <c r="I10" s="51">
        <v>19169</v>
      </c>
      <c r="J10" s="6"/>
      <c r="K10" s="103"/>
      <c r="L10" s="120">
        <v>20000</v>
      </c>
      <c r="M10" s="105">
        <v>15000</v>
      </c>
      <c r="N10" s="105">
        <v>17979</v>
      </c>
      <c r="O10" s="105">
        <v>14448</v>
      </c>
      <c r="P10" s="106"/>
      <c r="Q10" s="106"/>
      <c r="R10" s="106"/>
      <c r="S10" s="107"/>
      <c r="T10" s="106"/>
      <c r="U10" s="106"/>
      <c r="V10" s="106"/>
      <c r="W10" s="106"/>
      <c r="X10" s="106"/>
      <c r="Y10" s="106"/>
      <c r="Z10" s="106"/>
      <c r="AA10" s="106"/>
    </row>
    <row r="11" spans="1:27" x14ac:dyDescent="0.2">
      <c r="A11" s="12">
        <v>4</v>
      </c>
      <c r="B11" s="12" t="s">
        <v>92</v>
      </c>
      <c r="C11" s="68">
        <f>SUM(E11:S11)</f>
        <v>157972.22675999999</v>
      </c>
      <c r="D11" s="64"/>
      <c r="E11" s="64"/>
      <c r="F11" s="61">
        <v>13145</v>
      </c>
      <c r="G11" s="48"/>
      <c r="H11" s="78"/>
      <c r="I11" s="51">
        <v>20942</v>
      </c>
      <c r="J11" s="6"/>
      <c r="K11" s="103"/>
      <c r="L11" s="120">
        <v>18249</v>
      </c>
      <c r="M11" s="105">
        <v>18249</v>
      </c>
      <c r="N11" s="105">
        <v>25871.176760000002</v>
      </c>
      <c r="O11" s="105">
        <v>16598</v>
      </c>
      <c r="P11" s="105">
        <v>16599</v>
      </c>
      <c r="Q11" s="105">
        <v>17499.05</v>
      </c>
      <c r="R11" s="105">
        <f>8191+2629</f>
        <v>10820</v>
      </c>
      <c r="S11" s="106"/>
      <c r="T11" s="106"/>
      <c r="U11" s="106"/>
      <c r="V11" s="106"/>
      <c r="W11" s="106"/>
      <c r="X11" s="106"/>
      <c r="Y11" s="106"/>
      <c r="Z11" s="106"/>
      <c r="AA11" s="106"/>
    </row>
    <row r="12" spans="1:27" x14ac:dyDescent="0.2">
      <c r="A12" s="12">
        <v>5</v>
      </c>
      <c r="B12" s="12" t="s">
        <v>93</v>
      </c>
      <c r="C12" s="68">
        <f>SUM(D12:S12)</f>
        <v>203200.53986000002</v>
      </c>
      <c r="D12" s="61">
        <v>21006</v>
      </c>
      <c r="E12" s="62"/>
      <c r="F12" s="62"/>
      <c r="G12" s="51">
        <v>42700</v>
      </c>
      <c r="H12" s="6"/>
      <c r="I12" s="51">
        <v>40946</v>
      </c>
      <c r="J12" s="6"/>
      <c r="K12" s="103"/>
      <c r="L12" s="120">
        <v>21513.795360000004</v>
      </c>
      <c r="M12" s="105">
        <v>22303.7</v>
      </c>
      <c r="N12" s="105">
        <v>17260.866000000002</v>
      </c>
      <c r="O12" s="105">
        <f>8088.1785+16566</f>
        <v>24654.178500000002</v>
      </c>
      <c r="P12" s="105">
        <v>5618</v>
      </c>
      <c r="Q12" s="105">
        <v>7198</v>
      </c>
      <c r="R12" s="106"/>
      <c r="S12" s="107"/>
      <c r="T12" s="106"/>
      <c r="U12" s="106"/>
      <c r="V12" s="106"/>
      <c r="W12" s="106"/>
      <c r="X12" s="106"/>
      <c r="Y12" s="106"/>
      <c r="Z12" s="106"/>
      <c r="AA12" s="106"/>
    </row>
    <row r="13" spans="1:27" x14ac:dyDescent="0.2">
      <c r="A13" s="12">
        <v>6</v>
      </c>
      <c r="B13" s="12" t="s">
        <v>94</v>
      </c>
      <c r="C13" s="68">
        <f>SUM(E13:S13)</f>
        <v>164764.53140000001</v>
      </c>
      <c r="D13" s="62"/>
      <c r="E13" s="62"/>
      <c r="F13" s="62"/>
      <c r="G13" s="51">
        <v>19225</v>
      </c>
      <c r="H13" s="80"/>
      <c r="I13" s="81"/>
      <c r="K13" s="103">
        <v>13923.89</v>
      </c>
      <c r="L13" s="120"/>
      <c r="M13" s="105">
        <f>39817.27-1494.89</f>
        <v>38322.379999999997</v>
      </c>
      <c r="N13" s="105">
        <v>37858.942999999999</v>
      </c>
      <c r="O13" s="105">
        <v>16391.868400000003</v>
      </c>
      <c r="P13" s="105">
        <v>17367.850000000002</v>
      </c>
      <c r="Q13" s="105">
        <v>16350</v>
      </c>
      <c r="R13" s="105">
        <v>5324.6</v>
      </c>
      <c r="S13" s="106"/>
      <c r="T13" s="106"/>
      <c r="U13" s="106"/>
      <c r="V13" s="106"/>
      <c r="W13" s="106"/>
      <c r="X13" s="106"/>
      <c r="Y13" s="106"/>
      <c r="Z13" s="106"/>
      <c r="AA13" s="106"/>
    </row>
    <row r="14" spans="1:27" x14ac:dyDescent="0.2">
      <c r="A14" s="12">
        <v>7</v>
      </c>
      <c r="B14" s="12" t="s">
        <v>95</v>
      </c>
      <c r="C14" s="68">
        <f>SUM(E14:T14)</f>
        <v>202812.80840999997</v>
      </c>
      <c r="D14" s="62"/>
      <c r="E14" s="62"/>
      <c r="F14" s="61">
        <v>13792</v>
      </c>
      <c r="G14" s="56">
        <v>0</v>
      </c>
      <c r="H14" s="55"/>
      <c r="I14" s="48"/>
      <c r="K14" s="108"/>
      <c r="L14" s="120">
        <v>26525.4</v>
      </c>
      <c r="M14" s="105">
        <v>25559</v>
      </c>
      <c r="N14" s="105">
        <v>25558</v>
      </c>
      <c r="O14" s="105">
        <v>16329</v>
      </c>
      <c r="P14" s="105">
        <v>16329</v>
      </c>
      <c r="Q14" s="105">
        <v>32449.380820000006</v>
      </c>
      <c r="R14" s="105">
        <v>14703.074590000002</v>
      </c>
      <c r="S14" s="105">
        <v>20972.716</v>
      </c>
      <c r="T14" s="105">
        <v>10595.237000000003</v>
      </c>
      <c r="U14" s="106"/>
      <c r="V14" s="106"/>
      <c r="W14" s="106"/>
      <c r="X14" s="106"/>
      <c r="Y14" s="106"/>
      <c r="Z14" s="106"/>
      <c r="AA14" s="106"/>
    </row>
    <row r="15" spans="1:27" x14ac:dyDescent="0.2">
      <c r="A15" s="12">
        <v>8</v>
      </c>
      <c r="B15" s="12" t="s">
        <v>96</v>
      </c>
      <c r="C15" s="68">
        <f>SUM(E15:T15)</f>
        <v>110383.88</v>
      </c>
      <c r="D15" s="62"/>
      <c r="E15" s="62"/>
      <c r="F15" s="62"/>
      <c r="G15" s="54"/>
      <c r="H15" s="79"/>
      <c r="I15" s="82"/>
      <c r="K15" s="108"/>
      <c r="L15" s="109"/>
      <c r="M15" s="105">
        <v>13145</v>
      </c>
      <c r="N15" s="105">
        <v>18249</v>
      </c>
      <c r="O15" s="105">
        <v>13697.88</v>
      </c>
      <c r="P15" s="105">
        <v>18248</v>
      </c>
      <c r="Q15" s="105">
        <v>18248</v>
      </c>
      <c r="R15" s="105">
        <v>10650</v>
      </c>
      <c r="S15" s="105">
        <v>12446</v>
      </c>
      <c r="T15" s="105">
        <v>5700</v>
      </c>
      <c r="U15" s="106"/>
      <c r="V15" s="106"/>
      <c r="W15" s="106"/>
      <c r="X15" s="106"/>
      <c r="Y15" s="106"/>
      <c r="Z15" s="106"/>
      <c r="AA15" s="106"/>
    </row>
    <row r="16" spans="1:27" x14ac:dyDescent="0.2">
      <c r="A16" s="12">
        <v>9</v>
      </c>
      <c r="B16" s="12" t="s">
        <v>97</v>
      </c>
      <c r="C16" s="68">
        <f>SUM(E16:S16)</f>
        <v>3500</v>
      </c>
      <c r="D16" s="62"/>
      <c r="E16" s="62"/>
      <c r="F16" s="61">
        <v>3500</v>
      </c>
      <c r="G16" s="48"/>
      <c r="H16" s="79"/>
      <c r="I16" s="87" t="s">
        <v>69</v>
      </c>
      <c r="J16" s="88"/>
      <c r="K16" s="110"/>
      <c r="L16" s="111"/>
      <c r="M16" s="106"/>
      <c r="N16" s="105"/>
      <c r="O16" s="105"/>
      <c r="P16" s="105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</row>
    <row r="17" spans="1:28" x14ac:dyDescent="0.2">
      <c r="A17" s="12">
        <v>10</v>
      </c>
      <c r="B17" s="12" t="s">
        <v>68</v>
      </c>
      <c r="C17" s="68">
        <f>SUM(E17:X17)</f>
        <v>60000</v>
      </c>
      <c r="D17" s="62"/>
      <c r="E17" s="62"/>
      <c r="F17" s="61">
        <v>6000</v>
      </c>
      <c r="G17" s="48"/>
      <c r="H17" s="6"/>
      <c r="I17" s="51"/>
      <c r="K17" s="108"/>
      <c r="L17" s="109"/>
      <c r="M17" s="105">
        <v>6000</v>
      </c>
      <c r="N17" s="105">
        <v>6000</v>
      </c>
      <c r="O17" s="105">
        <v>6000</v>
      </c>
      <c r="P17" s="105">
        <v>6000</v>
      </c>
      <c r="Q17" s="105">
        <v>6000</v>
      </c>
      <c r="R17" s="105">
        <v>6000</v>
      </c>
      <c r="S17" s="105">
        <v>6000</v>
      </c>
      <c r="T17" s="105">
        <v>6000</v>
      </c>
      <c r="U17" s="105">
        <v>6000</v>
      </c>
      <c r="V17" s="105"/>
      <c r="W17" s="105"/>
      <c r="X17" s="105"/>
      <c r="Y17" s="106"/>
      <c r="Z17" s="106"/>
      <c r="AA17" s="106"/>
    </row>
    <row r="18" spans="1:28" x14ac:dyDescent="0.2">
      <c r="A18" s="12">
        <v>11</v>
      </c>
      <c r="B18" s="12" t="s">
        <v>88</v>
      </c>
      <c r="C18" s="68">
        <f>SUM(E18:X18)</f>
        <v>240000</v>
      </c>
      <c r="D18" s="62"/>
      <c r="E18" s="62"/>
      <c r="F18" s="61"/>
      <c r="G18" s="48"/>
      <c r="H18" s="6"/>
      <c r="I18" s="51"/>
      <c r="J18" s="6"/>
      <c r="K18" s="110" t="s">
        <v>100</v>
      </c>
      <c r="L18" s="111"/>
      <c r="M18" s="105"/>
      <c r="N18" s="105"/>
      <c r="O18" s="105"/>
      <c r="P18" s="105">
        <v>44000</v>
      </c>
      <c r="Q18" s="105">
        <v>26523</v>
      </c>
      <c r="R18" s="105">
        <v>36500</v>
      </c>
      <c r="S18" s="105">
        <v>21820</v>
      </c>
      <c r="T18" s="105">
        <v>18248</v>
      </c>
      <c r="U18" s="105">
        <v>18248</v>
      </c>
      <c r="V18" s="105">
        <v>36500</v>
      </c>
      <c r="W18" s="105">
        <v>18248</v>
      </c>
      <c r="X18" s="105">
        <v>19913</v>
      </c>
      <c r="Y18" s="106"/>
      <c r="Z18" s="106"/>
      <c r="AA18" s="106"/>
    </row>
    <row r="19" spans="1:28" x14ac:dyDescent="0.2">
      <c r="A19" s="12">
        <v>12</v>
      </c>
      <c r="B19" s="12" t="s">
        <v>101</v>
      </c>
      <c r="C19" s="100">
        <f>SUM(E19:AA19)</f>
        <v>135000</v>
      </c>
      <c r="D19" s="62"/>
      <c r="E19" s="62"/>
      <c r="F19" s="61"/>
      <c r="G19" s="48"/>
      <c r="H19" s="6"/>
      <c r="I19" s="51"/>
      <c r="J19" s="6"/>
      <c r="K19" s="103">
        <v>5000</v>
      </c>
      <c r="L19" s="112" t="s">
        <v>100</v>
      </c>
      <c r="M19" s="105"/>
      <c r="N19" s="105"/>
      <c r="O19" s="106"/>
      <c r="P19" s="106"/>
      <c r="Q19" s="106"/>
      <c r="R19" s="105">
        <v>12500</v>
      </c>
      <c r="S19" s="105">
        <v>16500</v>
      </c>
      <c r="T19" s="105">
        <v>16500</v>
      </c>
      <c r="U19" s="105">
        <v>12500</v>
      </c>
      <c r="V19" s="105">
        <v>12500</v>
      </c>
      <c r="W19" s="105">
        <v>12500</v>
      </c>
      <c r="X19" s="105">
        <v>12500</v>
      </c>
      <c r="Y19" s="105">
        <v>12500</v>
      </c>
      <c r="Z19" s="105">
        <v>12000</v>
      </c>
      <c r="AA19" s="105">
        <v>10000</v>
      </c>
    </row>
    <row r="20" spans="1:28" x14ac:dyDescent="0.2">
      <c r="A20" s="12">
        <v>13</v>
      </c>
      <c r="B20" s="12" t="s">
        <v>104</v>
      </c>
      <c r="C20" s="100">
        <f>SUM(E20:X20)</f>
        <v>150000</v>
      </c>
      <c r="D20" s="62"/>
      <c r="E20" s="62"/>
      <c r="F20" s="61"/>
      <c r="G20" s="48"/>
      <c r="H20" s="6"/>
      <c r="I20" s="51"/>
      <c r="J20" s="6"/>
      <c r="K20" s="103"/>
      <c r="L20" s="104">
        <v>0</v>
      </c>
      <c r="M20" s="105">
        <v>12500</v>
      </c>
      <c r="N20" s="105">
        <v>24500</v>
      </c>
      <c r="O20" s="105">
        <v>23500</v>
      </c>
      <c r="P20" s="105">
        <v>12500</v>
      </c>
      <c r="Q20" s="105">
        <v>12500</v>
      </c>
      <c r="R20" s="105">
        <v>12500</v>
      </c>
      <c r="S20" s="105">
        <v>14500</v>
      </c>
      <c r="T20" s="105">
        <v>12500</v>
      </c>
      <c r="U20" s="105">
        <v>12500</v>
      </c>
      <c r="V20" s="105">
        <v>12500</v>
      </c>
      <c r="W20" s="105"/>
      <c r="X20" s="105"/>
      <c r="Y20" s="106"/>
      <c r="Z20" s="106"/>
      <c r="AA20" s="106"/>
    </row>
    <row r="21" spans="1:28" x14ac:dyDescent="0.2">
      <c r="A21" s="12">
        <v>14</v>
      </c>
      <c r="B21" s="12" t="s">
        <v>105</v>
      </c>
      <c r="C21" s="100">
        <f>SUM(E21:AA21)</f>
        <v>200000</v>
      </c>
      <c r="D21" s="62"/>
      <c r="E21" s="62"/>
      <c r="F21" s="61"/>
      <c r="G21" s="48"/>
      <c r="H21" s="6"/>
      <c r="I21" s="51"/>
      <c r="J21" s="6"/>
      <c r="K21" s="103"/>
      <c r="L21" s="112" t="s">
        <v>100</v>
      </c>
      <c r="M21" s="105"/>
      <c r="N21" s="105"/>
      <c r="O21" s="105"/>
      <c r="P21" s="105"/>
      <c r="Q21" s="105"/>
      <c r="R21" s="105">
        <v>20000</v>
      </c>
      <c r="S21" s="105">
        <v>20000</v>
      </c>
      <c r="T21" s="105">
        <v>20000</v>
      </c>
      <c r="U21" s="105">
        <v>20000</v>
      </c>
      <c r="V21" s="105">
        <v>20000</v>
      </c>
      <c r="W21" s="105">
        <v>20000</v>
      </c>
      <c r="X21" s="105">
        <v>20000</v>
      </c>
      <c r="Y21" s="105">
        <v>20000</v>
      </c>
      <c r="Z21" s="105">
        <v>20000</v>
      </c>
      <c r="AA21" s="105">
        <v>20000</v>
      </c>
      <c r="AB21" s="6"/>
    </row>
    <row r="22" spans="1:28" ht="17" thickBot="1" x14ac:dyDescent="0.25">
      <c r="C22" s="11"/>
      <c r="D22" s="62"/>
      <c r="E22" s="62"/>
      <c r="F22" s="62"/>
      <c r="G22" s="48"/>
      <c r="I22" s="48"/>
      <c r="K22" s="48"/>
      <c r="L22" s="49"/>
    </row>
    <row r="23" spans="1:28" ht="17" thickBot="1" x14ac:dyDescent="0.25">
      <c r="B23" s="4" t="s">
        <v>0</v>
      </c>
      <c r="C23" s="71">
        <f>SUM(E23:T23)</f>
        <v>-913019.31999999983</v>
      </c>
      <c r="D23" s="60">
        <f>SUM(D24:D30)</f>
        <v>0</v>
      </c>
      <c r="E23" s="60">
        <f>SUM(E24:E30)</f>
        <v>-48660</v>
      </c>
      <c r="F23" s="60">
        <f t="shared" ref="F23:P23" si="19">SUM(F24:F30)</f>
        <v>-83039.199999999997</v>
      </c>
      <c r="G23" s="89">
        <f>SUM(G24:H30)</f>
        <v>-72990.320000000007</v>
      </c>
      <c r="H23" s="90"/>
      <c r="I23" s="89">
        <f>SUM(I24:I30)</f>
        <v>-102402</v>
      </c>
      <c r="J23" s="90"/>
      <c r="K23" s="89">
        <f>SUM(K24:L30)</f>
        <v>-86214.2</v>
      </c>
      <c r="L23" s="95"/>
      <c r="M23" s="5">
        <f>SUM(M24:M30)</f>
        <v>-61214.2</v>
      </c>
      <c r="N23" s="5">
        <f t="shared" si="19"/>
        <v>-65214.2</v>
      </c>
      <c r="O23" s="5">
        <f t="shared" si="19"/>
        <v>-73214.2</v>
      </c>
      <c r="P23" s="5">
        <f t="shared" si="19"/>
        <v>-73214.2</v>
      </c>
      <c r="Q23" s="5">
        <f t="shared" ref="Q23:AA23" si="20">SUM(Q24:Q30)</f>
        <v>-61214.2</v>
      </c>
      <c r="R23" s="5">
        <f t="shared" si="20"/>
        <v>-63214.2</v>
      </c>
      <c r="S23" s="5">
        <f t="shared" si="20"/>
        <v>-61214.2</v>
      </c>
      <c r="T23" s="5">
        <f t="shared" si="20"/>
        <v>-61214.2</v>
      </c>
      <c r="U23" s="5">
        <f t="shared" si="20"/>
        <v>-61214.2</v>
      </c>
      <c r="V23" s="5">
        <f t="shared" si="20"/>
        <v>-61214.2</v>
      </c>
      <c r="W23" s="5">
        <f t="shared" si="20"/>
        <v>-61214.2</v>
      </c>
      <c r="X23" s="5">
        <f t="shared" si="20"/>
        <v>-61214.2</v>
      </c>
      <c r="Y23" s="5">
        <f t="shared" si="20"/>
        <v>-61214.2</v>
      </c>
      <c r="Z23" s="5">
        <f t="shared" si="20"/>
        <v>-61214.2</v>
      </c>
      <c r="AA23" s="5">
        <f t="shared" si="20"/>
        <v>-61214.2</v>
      </c>
    </row>
    <row r="24" spans="1:28" x14ac:dyDescent="0.2">
      <c r="B24" s="3" t="s">
        <v>1</v>
      </c>
      <c r="C24" s="67"/>
      <c r="D24" s="61"/>
      <c r="E24" s="61">
        <f>-15100-8200-2000-9750-6750-880*2-1050*2</f>
        <v>-45660</v>
      </c>
      <c r="F24" s="61">
        <v>-66351</v>
      </c>
      <c r="G24" s="87">
        <f>-58811</f>
        <v>-58811</v>
      </c>
      <c r="H24" s="88"/>
      <c r="I24" s="93">
        <v>-47443</v>
      </c>
      <c r="J24" s="88"/>
      <c r="K24" s="113">
        <f>-'Salary NEW'!D20</f>
        <v>-56293.5</v>
      </c>
      <c r="L24" s="114"/>
      <c r="M24" s="115">
        <f>-'Salary NEW'!K20</f>
        <v>-51293.5</v>
      </c>
      <c r="N24" s="115">
        <f t="shared" ref="N24:S24" si="21">M24</f>
        <v>-51293.5</v>
      </c>
      <c r="O24" s="115">
        <f t="shared" si="21"/>
        <v>-51293.5</v>
      </c>
      <c r="P24" s="115">
        <f>O24</f>
        <v>-51293.5</v>
      </c>
      <c r="Q24" s="115">
        <f t="shared" si="21"/>
        <v>-51293.5</v>
      </c>
      <c r="R24" s="115">
        <f t="shared" si="21"/>
        <v>-51293.5</v>
      </c>
      <c r="S24" s="115">
        <f t="shared" si="21"/>
        <v>-51293.5</v>
      </c>
      <c r="T24" s="115">
        <f t="shared" ref="T24" si="22">S24</f>
        <v>-51293.5</v>
      </c>
      <c r="U24" s="115">
        <f t="shared" ref="U24" si="23">T24</f>
        <v>-51293.5</v>
      </c>
      <c r="V24" s="115">
        <f t="shared" ref="V24" si="24">U24</f>
        <v>-51293.5</v>
      </c>
      <c r="W24" s="115">
        <f t="shared" ref="W24" si="25">V24</f>
        <v>-51293.5</v>
      </c>
      <c r="X24" s="115">
        <f t="shared" ref="X24" si="26">W24</f>
        <v>-51293.5</v>
      </c>
      <c r="Y24" s="115">
        <f t="shared" ref="Y24" si="27">X24</f>
        <v>-51293.5</v>
      </c>
      <c r="Z24" s="115">
        <f t="shared" ref="Z24" si="28">Y24</f>
        <v>-51293.5</v>
      </c>
      <c r="AA24" s="115">
        <f t="shared" ref="AA24" si="29">Z24</f>
        <v>-51293.5</v>
      </c>
    </row>
    <row r="25" spans="1:28" x14ac:dyDescent="0.2">
      <c r="B25" s="3" t="s">
        <v>18</v>
      </c>
      <c r="C25" s="67"/>
      <c r="D25" s="61"/>
      <c r="E25" s="61">
        <f>-1000</f>
        <v>-1000</v>
      </c>
      <c r="F25" s="61">
        <f>-2000</f>
        <v>-2000</v>
      </c>
      <c r="G25" s="87"/>
      <c r="H25" s="88"/>
      <c r="I25" s="93">
        <f>-3230</f>
        <v>-3230</v>
      </c>
      <c r="J25" s="88"/>
      <c r="K25" s="113">
        <f>-750-750-4500</f>
        <v>-6000</v>
      </c>
      <c r="L25" s="114"/>
      <c r="M25" s="115"/>
      <c r="N25" s="115"/>
      <c r="O25" s="115">
        <f>-750-750-750-750-4500-4500</f>
        <v>-12000</v>
      </c>
      <c r="P25" s="115">
        <f>-750-750-4500-750-750-4500</f>
        <v>-12000</v>
      </c>
      <c r="Q25" s="116"/>
      <c r="R25" s="115">
        <f>-2000</f>
        <v>-2000</v>
      </c>
      <c r="S25" s="116"/>
      <c r="T25" s="116"/>
      <c r="U25" s="116"/>
      <c r="V25" s="116"/>
      <c r="W25" s="116"/>
      <c r="X25" s="116"/>
      <c r="Y25" s="116"/>
      <c r="Z25" s="116"/>
      <c r="AA25" s="116"/>
    </row>
    <row r="26" spans="1:28" x14ac:dyDescent="0.2">
      <c r="B26" s="3" t="s">
        <v>15</v>
      </c>
      <c r="C26" s="67"/>
      <c r="D26" s="61"/>
      <c r="E26" s="61"/>
      <c r="F26" s="61">
        <f>-6722.2-708</f>
        <v>-7430.2</v>
      </c>
      <c r="G26" s="87">
        <f>-6104.27</f>
        <v>-6104.27</v>
      </c>
      <c r="H26" s="88"/>
      <c r="I26" s="93">
        <v>-6450</v>
      </c>
      <c r="J26" s="88"/>
      <c r="K26" s="113">
        <f t="shared" ref="K26:AA26" si="30">-2162.7</f>
        <v>-2162.6999999999998</v>
      </c>
      <c r="L26" s="114"/>
      <c r="M26" s="115">
        <f t="shared" si="30"/>
        <v>-2162.6999999999998</v>
      </c>
      <c r="N26" s="115">
        <f t="shared" si="30"/>
        <v>-2162.6999999999998</v>
      </c>
      <c r="O26" s="115">
        <f t="shared" si="30"/>
        <v>-2162.6999999999998</v>
      </c>
      <c r="P26" s="115">
        <f t="shared" si="30"/>
        <v>-2162.6999999999998</v>
      </c>
      <c r="Q26" s="115">
        <f t="shared" si="30"/>
        <v>-2162.6999999999998</v>
      </c>
      <c r="R26" s="115">
        <f t="shared" si="30"/>
        <v>-2162.6999999999998</v>
      </c>
      <c r="S26" s="115">
        <f t="shared" si="30"/>
        <v>-2162.6999999999998</v>
      </c>
      <c r="T26" s="115">
        <f t="shared" si="30"/>
        <v>-2162.6999999999998</v>
      </c>
      <c r="U26" s="115">
        <f t="shared" si="30"/>
        <v>-2162.6999999999998</v>
      </c>
      <c r="V26" s="115">
        <f t="shared" si="30"/>
        <v>-2162.6999999999998</v>
      </c>
      <c r="W26" s="115">
        <f t="shared" si="30"/>
        <v>-2162.6999999999998</v>
      </c>
      <c r="X26" s="115">
        <f t="shared" si="30"/>
        <v>-2162.6999999999998</v>
      </c>
      <c r="Y26" s="115">
        <f t="shared" si="30"/>
        <v>-2162.6999999999998</v>
      </c>
      <c r="Z26" s="115">
        <f t="shared" si="30"/>
        <v>-2162.6999999999998</v>
      </c>
      <c r="AA26" s="115">
        <f t="shared" si="30"/>
        <v>-2162.6999999999998</v>
      </c>
    </row>
    <row r="27" spans="1:28" x14ac:dyDescent="0.2">
      <c r="B27" s="3" t="s">
        <v>17</v>
      </c>
      <c r="C27" s="67"/>
      <c r="D27" s="61"/>
      <c r="E27" s="61"/>
      <c r="F27" s="61">
        <f>-1454</f>
        <v>-1454</v>
      </c>
      <c r="G27" s="87">
        <f>-1454</f>
        <v>-1454</v>
      </c>
      <c r="H27" s="88"/>
      <c r="I27" s="93">
        <f t="shared" ref="I27:AA27" si="31">-1454</f>
        <v>-1454</v>
      </c>
      <c r="J27" s="88"/>
      <c r="K27" s="113">
        <f t="shared" si="31"/>
        <v>-1454</v>
      </c>
      <c r="L27" s="114"/>
      <c r="M27" s="115">
        <f t="shared" si="31"/>
        <v>-1454</v>
      </c>
      <c r="N27" s="115">
        <f t="shared" si="31"/>
        <v>-1454</v>
      </c>
      <c r="O27" s="115">
        <f t="shared" si="31"/>
        <v>-1454</v>
      </c>
      <c r="P27" s="115">
        <f t="shared" si="31"/>
        <v>-1454</v>
      </c>
      <c r="Q27" s="115">
        <f t="shared" si="31"/>
        <v>-1454</v>
      </c>
      <c r="R27" s="115">
        <f t="shared" si="31"/>
        <v>-1454</v>
      </c>
      <c r="S27" s="115">
        <f t="shared" si="31"/>
        <v>-1454</v>
      </c>
      <c r="T27" s="115">
        <f t="shared" si="31"/>
        <v>-1454</v>
      </c>
      <c r="U27" s="115">
        <f t="shared" si="31"/>
        <v>-1454</v>
      </c>
      <c r="V27" s="115">
        <f t="shared" si="31"/>
        <v>-1454</v>
      </c>
      <c r="W27" s="115">
        <f t="shared" si="31"/>
        <v>-1454</v>
      </c>
      <c r="X27" s="115">
        <f t="shared" si="31"/>
        <v>-1454</v>
      </c>
      <c r="Y27" s="115">
        <f t="shared" si="31"/>
        <v>-1454</v>
      </c>
      <c r="Z27" s="115">
        <f t="shared" si="31"/>
        <v>-1454</v>
      </c>
      <c r="AA27" s="115">
        <f t="shared" si="31"/>
        <v>-1454</v>
      </c>
    </row>
    <row r="28" spans="1:28" x14ac:dyDescent="0.2">
      <c r="B28" s="3" t="s">
        <v>16</v>
      </c>
      <c r="C28" s="67"/>
      <c r="D28" s="61"/>
      <c r="E28" s="61"/>
      <c r="F28" s="61">
        <f>-3304</f>
        <v>-3304</v>
      </c>
      <c r="G28" s="87">
        <f>-2811.65</f>
        <v>-2811.65</v>
      </c>
      <c r="H28" s="88"/>
      <c r="I28" s="93">
        <v>-6450</v>
      </c>
      <c r="J28" s="88"/>
      <c r="K28" s="113">
        <f t="shared" ref="K28:AA28" si="32">-3304</f>
        <v>-3304</v>
      </c>
      <c r="L28" s="114"/>
      <c r="M28" s="115">
        <f t="shared" si="32"/>
        <v>-3304</v>
      </c>
      <c r="N28" s="115">
        <f t="shared" si="32"/>
        <v>-3304</v>
      </c>
      <c r="O28" s="115">
        <f t="shared" si="32"/>
        <v>-3304</v>
      </c>
      <c r="P28" s="115">
        <f t="shared" si="32"/>
        <v>-3304</v>
      </c>
      <c r="Q28" s="115">
        <f t="shared" si="32"/>
        <v>-3304</v>
      </c>
      <c r="R28" s="115">
        <f t="shared" si="32"/>
        <v>-3304</v>
      </c>
      <c r="S28" s="115">
        <f t="shared" si="32"/>
        <v>-3304</v>
      </c>
      <c r="T28" s="115">
        <f t="shared" si="32"/>
        <v>-3304</v>
      </c>
      <c r="U28" s="115">
        <f t="shared" si="32"/>
        <v>-3304</v>
      </c>
      <c r="V28" s="115">
        <f t="shared" si="32"/>
        <v>-3304</v>
      </c>
      <c r="W28" s="115">
        <f t="shared" si="32"/>
        <v>-3304</v>
      </c>
      <c r="X28" s="115">
        <f t="shared" si="32"/>
        <v>-3304</v>
      </c>
      <c r="Y28" s="115">
        <f t="shared" si="32"/>
        <v>-3304</v>
      </c>
      <c r="Z28" s="115">
        <f t="shared" si="32"/>
        <v>-3304</v>
      </c>
      <c r="AA28" s="115">
        <f t="shared" si="32"/>
        <v>-3304</v>
      </c>
    </row>
    <row r="29" spans="1:28" x14ac:dyDescent="0.2">
      <c r="B29" s="3" t="s">
        <v>76</v>
      </c>
      <c r="C29" s="67"/>
      <c r="D29" s="61"/>
      <c r="E29" s="61"/>
      <c r="F29" s="61"/>
      <c r="G29" s="87">
        <f>-2352.05</f>
        <v>-2352.0500000000002</v>
      </c>
      <c r="H29" s="88"/>
      <c r="I29" s="93">
        <v>-20000</v>
      </c>
      <c r="J29" s="88"/>
      <c r="K29" s="113">
        <v>-10000</v>
      </c>
      <c r="L29" s="114"/>
      <c r="M29" s="115">
        <v>-1000</v>
      </c>
      <c r="N29" s="115">
        <f>-4000-1000</f>
        <v>-5000</v>
      </c>
      <c r="O29" s="115">
        <f>-1000</f>
        <v>-1000</v>
      </c>
      <c r="P29" s="115">
        <f t="shared" ref="P29:AA29" si="33">-1000</f>
        <v>-1000</v>
      </c>
      <c r="Q29" s="115">
        <f t="shared" si="33"/>
        <v>-1000</v>
      </c>
      <c r="R29" s="115">
        <f t="shared" si="33"/>
        <v>-1000</v>
      </c>
      <c r="S29" s="115">
        <f t="shared" si="33"/>
        <v>-1000</v>
      </c>
      <c r="T29" s="115">
        <f t="shared" si="33"/>
        <v>-1000</v>
      </c>
      <c r="U29" s="115">
        <f t="shared" si="33"/>
        <v>-1000</v>
      </c>
      <c r="V29" s="115">
        <f t="shared" si="33"/>
        <v>-1000</v>
      </c>
      <c r="W29" s="115">
        <f t="shared" si="33"/>
        <v>-1000</v>
      </c>
      <c r="X29" s="115">
        <f t="shared" si="33"/>
        <v>-1000</v>
      </c>
      <c r="Y29" s="115">
        <f t="shared" si="33"/>
        <v>-1000</v>
      </c>
      <c r="Z29" s="115">
        <f t="shared" si="33"/>
        <v>-1000</v>
      </c>
      <c r="AA29" s="115">
        <f t="shared" si="33"/>
        <v>-1000</v>
      </c>
    </row>
    <row r="30" spans="1:28" x14ac:dyDescent="0.2">
      <c r="B30" s="3" t="s">
        <v>14</v>
      </c>
      <c r="C30" s="67"/>
      <c r="D30" s="61"/>
      <c r="E30" s="61">
        <f>-2000</f>
        <v>-2000</v>
      </c>
      <c r="F30" s="61">
        <f>-2500</f>
        <v>-2500</v>
      </c>
      <c r="G30" s="91">
        <f>-512.6-283.28-500-161.47</f>
        <v>-1457.3500000000001</v>
      </c>
      <c r="H30" s="92"/>
      <c r="I30" s="91">
        <v>-17375</v>
      </c>
      <c r="J30" s="92"/>
      <c r="K30" s="117">
        <f>-2000-5000</f>
        <v>-7000</v>
      </c>
      <c r="L30" s="118"/>
      <c r="M30" s="115">
        <f t="shared" ref="M30:AA30" si="34">-2000</f>
        <v>-2000</v>
      </c>
      <c r="N30" s="115">
        <f t="shared" si="34"/>
        <v>-2000</v>
      </c>
      <c r="O30" s="115">
        <f t="shared" si="34"/>
        <v>-2000</v>
      </c>
      <c r="P30" s="115">
        <f t="shared" si="34"/>
        <v>-2000</v>
      </c>
      <c r="Q30" s="115">
        <f t="shared" si="34"/>
        <v>-2000</v>
      </c>
      <c r="R30" s="115">
        <f t="shared" si="34"/>
        <v>-2000</v>
      </c>
      <c r="S30" s="115">
        <f t="shared" si="34"/>
        <v>-2000</v>
      </c>
      <c r="T30" s="115">
        <f t="shared" si="34"/>
        <v>-2000</v>
      </c>
      <c r="U30" s="115">
        <f t="shared" si="34"/>
        <v>-2000</v>
      </c>
      <c r="V30" s="115">
        <f t="shared" si="34"/>
        <v>-2000</v>
      </c>
      <c r="W30" s="115">
        <f t="shared" si="34"/>
        <v>-2000</v>
      </c>
      <c r="X30" s="115">
        <f t="shared" si="34"/>
        <v>-2000</v>
      </c>
      <c r="Y30" s="115">
        <f t="shared" si="34"/>
        <v>-2000</v>
      </c>
      <c r="Z30" s="115">
        <f t="shared" si="34"/>
        <v>-2000</v>
      </c>
      <c r="AA30" s="115">
        <f t="shared" si="34"/>
        <v>-2000</v>
      </c>
    </row>
    <row r="31" spans="1:28" x14ac:dyDescent="0.2">
      <c r="C31" s="122"/>
      <c r="D31" s="123"/>
      <c r="E31" s="123">
        <f>E4+E23+E7</f>
        <v>30346</v>
      </c>
      <c r="F31" s="123">
        <f>F4+F23+F7</f>
        <v>37600.800000000003</v>
      </c>
      <c r="G31" s="124">
        <f>G4+G7+H7+G23</f>
        <v>66777.679999999993</v>
      </c>
      <c r="H31" s="125"/>
      <c r="I31" s="124">
        <f>I4+I23+J7+I7</f>
        <v>68827.679999999993</v>
      </c>
      <c r="J31" s="126"/>
      <c r="K31" s="127">
        <f>K4+K23+L7+K7</f>
        <v>116990.56536000001</v>
      </c>
      <c r="L31" s="128"/>
      <c r="M31" s="123">
        <f>M4+M23+M7</f>
        <v>237586.44536000001</v>
      </c>
      <c r="N31" s="123">
        <f t="shared" ref="M31:AA31" si="35">N4+N23+N7</f>
        <v>367077.07392</v>
      </c>
      <c r="O31" s="123">
        <f t="shared" si="35"/>
        <v>454641.85762000002</v>
      </c>
      <c r="P31" s="123">
        <f t="shared" si="35"/>
        <v>539142.35361999995</v>
      </c>
      <c r="Q31" s="123">
        <f t="shared" si="35"/>
        <v>633568.83043999993</v>
      </c>
      <c r="R31" s="123">
        <f t="shared" si="35"/>
        <v>710270.30502999993</v>
      </c>
      <c r="S31" s="123">
        <f t="shared" si="35"/>
        <v>761294.82102999999</v>
      </c>
      <c r="T31" s="123">
        <f t="shared" si="35"/>
        <v>789623.85803</v>
      </c>
      <c r="U31" s="123">
        <f t="shared" si="35"/>
        <v>797657.65803000005</v>
      </c>
      <c r="V31" s="123">
        <f t="shared" si="35"/>
        <v>817943.4580300001</v>
      </c>
      <c r="W31" s="123">
        <f t="shared" si="35"/>
        <v>807477.25803000014</v>
      </c>
      <c r="X31" s="123">
        <f t="shared" si="35"/>
        <v>798676.05803000019</v>
      </c>
      <c r="Y31" s="123">
        <f t="shared" si="35"/>
        <v>769961.85803000024</v>
      </c>
      <c r="Z31" s="123">
        <f t="shared" si="35"/>
        <v>740747.65803000028</v>
      </c>
      <c r="AA31" s="123">
        <f t="shared" si="35"/>
        <v>709533.45803000033</v>
      </c>
    </row>
    <row r="34" spans="13:27" ht="21" x14ac:dyDescent="0.25">
      <c r="M34" s="121">
        <f>-M23/M7</f>
        <v>0.3366931030446717</v>
      </c>
      <c r="N34" s="121">
        <f t="shared" ref="N34:AA34" si="36">-N23/N7</f>
        <v>0.33493879161760837</v>
      </c>
      <c r="O34" s="121">
        <f t="shared" si="36"/>
        <v>0.45537170540032462</v>
      </c>
      <c r="P34" s="121">
        <f t="shared" si="36"/>
        <v>0.46421926337162644</v>
      </c>
      <c r="Q34" s="121">
        <f t="shared" si="36"/>
        <v>0.39330463764813123</v>
      </c>
      <c r="R34" s="121">
        <f t="shared" si="36"/>
        <v>0.45180213142836834</v>
      </c>
      <c r="S34" s="121">
        <f t="shared" si="36"/>
        <v>0.54539291058889161</v>
      </c>
      <c r="T34" s="121">
        <f t="shared" si="36"/>
        <v>0.68362728499529224</v>
      </c>
      <c r="U34" s="121">
        <f t="shared" si="36"/>
        <v>0.88398509704251382</v>
      </c>
      <c r="V34" s="121">
        <f t="shared" si="36"/>
        <v>0.75109447852760736</v>
      </c>
      <c r="W34" s="121">
        <f t="shared" si="36"/>
        <v>1.2062386695042169</v>
      </c>
      <c r="X34" s="121">
        <f t="shared" si="36"/>
        <v>1.167920172476294</v>
      </c>
      <c r="Y34" s="121">
        <f t="shared" si="36"/>
        <v>1.8835138461538461</v>
      </c>
      <c r="Z34" s="121">
        <f t="shared" si="36"/>
        <v>1.9129437499999999</v>
      </c>
      <c r="AA34" s="121">
        <f t="shared" si="36"/>
        <v>2.0404733333333334</v>
      </c>
    </row>
  </sheetData>
  <mergeCells count="39">
    <mergeCell ref="K26:L26"/>
    <mergeCell ref="K24:L24"/>
    <mergeCell ref="K30:L30"/>
    <mergeCell ref="K31:L31"/>
    <mergeCell ref="K29:L29"/>
    <mergeCell ref="K27:L27"/>
    <mergeCell ref="K28:L28"/>
    <mergeCell ref="K2:L2"/>
    <mergeCell ref="K3:L3"/>
    <mergeCell ref="I23:J23"/>
    <mergeCell ref="I24:J24"/>
    <mergeCell ref="I25:J25"/>
    <mergeCell ref="I2:J2"/>
    <mergeCell ref="I3:J3"/>
    <mergeCell ref="I4:J4"/>
    <mergeCell ref="I16:J16"/>
    <mergeCell ref="K18:L18"/>
    <mergeCell ref="K23:L23"/>
    <mergeCell ref="K25:L25"/>
    <mergeCell ref="K4:L4"/>
    <mergeCell ref="K16:L16"/>
    <mergeCell ref="I31:J31"/>
    <mergeCell ref="I26:J26"/>
    <mergeCell ref="I27:J27"/>
    <mergeCell ref="I28:J28"/>
    <mergeCell ref="I29:J29"/>
    <mergeCell ref="I30:J30"/>
    <mergeCell ref="G2:H2"/>
    <mergeCell ref="G3:H3"/>
    <mergeCell ref="G4:H4"/>
    <mergeCell ref="G29:H29"/>
    <mergeCell ref="G31:H31"/>
    <mergeCell ref="G23:H23"/>
    <mergeCell ref="G24:H24"/>
    <mergeCell ref="G25:H25"/>
    <mergeCell ref="G26:H26"/>
    <mergeCell ref="G27:H27"/>
    <mergeCell ref="G28:H28"/>
    <mergeCell ref="G30:H30"/>
  </mergeCells>
  <phoneticPr fontId="32" type="noConversion"/>
  <conditionalFormatting sqref="G3:I3">
    <cfRule type="colorScale" priority="24">
      <colorScale>
        <cfvo type="min"/>
        <cfvo type="max"/>
        <color rgb="FFFCFCFF"/>
        <color rgb="FF63BE7B"/>
      </colorScale>
    </cfRule>
  </conditionalFormatting>
  <conditionalFormatting sqref="J10:J12 J8">
    <cfRule type="colorScale" priority="23">
      <colorScale>
        <cfvo type="min"/>
        <cfvo type="max"/>
        <color rgb="FFFCFCFF"/>
        <color rgb="FF63BE7B"/>
      </colorScale>
    </cfRule>
  </conditionalFormatting>
  <conditionalFormatting sqref="AB21">
    <cfRule type="colorScale" priority="3">
      <colorScale>
        <cfvo type="min"/>
        <cfvo type="max"/>
        <color rgb="FFFCFCFF"/>
        <color rgb="FF63BE7B"/>
      </colorScale>
    </cfRule>
  </conditionalFormatting>
  <conditionalFormatting sqref="K3:AA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4:AA3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59ACF-C1B6-904B-AC84-D8E4D7901848}">
  <sheetPr>
    <tabColor rgb="FFC00000"/>
  </sheetPr>
  <dimension ref="B2:O22"/>
  <sheetViews>
    <sheetView workbookViewId="0">
      <selection activeCell="K33" sqref="K33"/>
    </sheetView>
  </sheetViews>
  <sheetFormatPr baseColWidth="10" defaultColWidth="8.83203125" defaultRowHeight="16" outlineLevelCol="1" x14ac:dyDescent="0.2"/>
  <cols>
    <col min="2" max="2" width="3.83203125" hidden="1" customWidth="1" outlineLevel="1"/>
    <col min="3" max="3" width="21.1640625" hidden="1" customWidth="1" outlineLevel="1"/>
    <col min="4" max="4" width="13.83203125" hidden="1" customWidth="1" outlineLevel="1"/>
    <col min="5" max="5" width="15.6640625" hidden="1" customWidth="1" outlineLevel="1"/>
    <col min="6" max="6" width="21.83203125" hidden="1" customWidth="1" outlineLevel="1"/>
    <col min="7" max="7" width="4.6640625" customWidth="1" collapsed="1"/>
    <col min="8" max="8" width="6.83203125" customWidth="1"/>
    <col min="10" max="10" width="21.83203125" customWidth="1"/>
    <col min="11" max="11" width="19.5" bestFit="1" customWidth="1"/>
    <col min="12" max="12" width="13.83203125" customWidth="1"/>
    <col min="13" max="13" width="21.83203125" customWidth="1"/>
  </cols>
  <sheetData>
    <row r="2" spans="2:15" ht="25" thickBot="1" x14ac:dyDescent="0.35">
      <c r="B2" s="96" t="s">
        <v>35</v>
      </c>
      <c r="C2" s="97"/>
      <c r="D2" s="97"/>
      <c r="E2" s="97"/>
    </row>
    <row r="3" spans="2:15" x14ac:dyDescent="0.2">
      <c r="B3" s="98" t="s">
        <v>36</v>
      </c>
      <c r="C3" s="97"/>
      <c r="D3" s="97"/>
      <c r="E3" s="97"/>
      <c r="I3" s="131"/>
      <c r="J3" s="132"/>
      <c r="K3" s="132"/>
      <c r="L3" s="132"/>
      <c r="M3" s="132"/>
      <c r="N3" s="132"/>
      <c r="O3" s="133"/>
    </row>
    <row r="4" spans="2:15" x14ac:dyDescent="0.2">
      <c r="B4" s="97" t="s">
        <v>37</v>
      </c>
      <c r="C4" s="97"/>
      <c r="D4" s="97"/>
      <c r="E4" s="97"/>
      <c r="I4" s="134"/>
      <c r="J4" s="135"/>
      <c r="K4" s="135"/>
      <c r="L4" s="135"/>
      <c r="M4" s="135"/>
      <c r="N4" s="135"/>
      <c r="O4" s="136"/>
    </row>
    <row r="5" spans="2:15" x14ac:dyDescent="0.2">
      <c r="B5" s="99" t="s">
        <v>56</v>
      </c>
      <c r="C5" s="97"/>
      <c r="D5" s="97"/>
      <c r="E5" s="97"/>
      <c r="I5" s="137" t="s">
        <v>56</v>
      </c>
      <c r="J5" s="138"/>
      <c r="K5" s="138"/>
      <c r="L5" s="138"/>
      <c r="M5" s="135"/>
      <c r="N5" s="135"/>
      <c r="O5" s="136"/>
    </row>
    <row r="6" spans="2:15" x14ac:dyDescent="0.2">
      <c r="B6" s="40"/>
      <c r="C6" s="41" t="s">
        <v>38</v>
      </c>
      <c r="D6" s="41" t="s">
        <v>67</v>
      </c>
      <c r="E6" s="41" t="s">
        <v>39</v>
      </c>
      <c r="F6" s="41" t="s">
        <v>58</v>
      </c>
      <c r="I6" s="139"/>
      <c r="J6" s="41" t="s">
        <v>38</v>
      </c>
      <c r="K6" s="41" t="s">
        <v>67</v>
      </c>
      <c r="L6" s="41" t="s">
        <v>39</v>
      </c>
      <c r="M6" s="41" t="s">
        <v>58</v>
      </c>
      <c r="N6" s="135"/>
      <c r="O6" s="136"/>
    </row>
    <row r="7" spans="2:15" ht="17" x14ac:dyDescent="0.2">
      <c r="B7" s="42"/>
      <c r="C7" s="42" t="s">
        <v>40</v>
      </c>
      <c r="D7" s="43">
        <v>7627.25</v>
      </c>
      <c r="E7" s="42" t="s">
        <v>41</v>
      </c>
      <c r="F7" t="s">
        <v>59</v>
      </c>
      <c r="I7" s="140"/>
      <c r="J7" s="141" t="s">
        <v>40</v>
      </c>
      <c r="K7" s="142">
        <v>7627.25</v>
      </c>
      <c r="L7" s="141" t="s">
        <v>41</v>
      </c>
      <c r="M7" s="135" t="s">
        <v>59</v>
      </c>
      <c r="N7" s="135"/>
      <c r="O7" s="136"/>
    </row>
    <row r="8" spans="2:15" ht="17" x14ac:dyDescent="0.2">
      <c r="B8" s="42"/>
      <c r="C8" s="42" t="s">
        <v>42</v>
      </c>
      <c r="D8" s="43">
        <v>2440</v>
      </c>
      <c r="E8" s="42" t="s">
        <v>41</v>
      </c>
      <c r="F8" t="s">
        <v>57</v>
      </c>
      <c r="I8" s="140"/>
      <c r="J8" s="141" t="s">
        <v>42</v>
      </c>
      <c r="K8" s="142">
        <v>2440</v>
      </c>
      <c r="L8" s="141" t="s">
        <v>41</v>
      </c>
      <c r="M8" s="135" t="s">
        <v>57</v>
      </c>
      <c r="N8" s="135"/>
      <c r="O8" s="136"/>
    </row>
    <row r="9" spans="2:15" ht="17" x14ac:dyDescent="0.2">
      <c r="B9" s="42"/>
      <c r="C9" s="42" t="s">
        <v>43</v>
      </c>
      <c r="D9" s="43">
        <v>6449.59</v>
      </c>
      <c r="E9" s="42" t="s">
        <v>41</v>
      </c>
      <c r="F9" t="s">
        <v>59</v>
      </c>
      <c r="I9" s="140"/>
      <c r="J9" s="141" t="s">
        <v>43</v>
      </c>
      <c r="K9" s="142">
        <v>6449.59</v>
      </c>
      <c r="L9" s="141" t="s">
        <v>41</v>
      </c>
      <c r="M9" s="135" t="s">
        <v>59</v>
      </c>
      <c r="N9" s="135"/>
      <c r="O9" s="136"/>
    </row>
    <row r="10" spans="2:15" ht="17" x14ac:dyDescent="0.2">
      <c r="B10" s="42"/>
      <c r="C10" s="57" t="s">
        <v>44</v>
      </c>
      <c r="D10" s="58"/>
      <c r="E10" s="57" t="s">
        <v>41</v>
      </c>
      <c r="F10" s="59" t="s">
        <v>61</v>
      </c>
      <c r="I10" s="140"/>
      <c r="J10" s="143" t="s">
        <v>44</v>
      </c>
      <c r="K10" s="144"/>
      <c r="L10" s="143" t="s">
        <v>41</v>
      </c>
      <c r="M10" s="145" t="s">
        <v>61</v>
      </c>
      <c r="N10" s="135"/>
      <c r="O10" s="136"/>
    </row>
    <row r="11" spans="2:15" ht="17" x14ac:dyDescent="0.2">
      <c r="B11" s="42"/>
      <c r="C11" s="42" t="s">
        <v>45</v>
      </c>
      <c r="D11" s="43">
        <v>7496.66</v>
      </c>
      <c r="E11" s="42" t="s">
        <v>41</v>
      </c>
      <c r="F11" t="s">
        <v>59</v>
      </c>
      <c r="I11" s="140"/>
      <c r="J11" s="141" t="s">
        <v>45</v>
      </c>
      <c r="K11" s="142">
        <v>7496.66</v>
      </c>
      <c r="L11" s="141" t="s">
        <v>41</v>
      </c>
      <c r="M11" s="135" t="s">
        <v>59</v>
      </c>
      <c r="N11" s="135"/>
      <c r="O11" s="136"/>
    </row>
    <row r="12" spans="2:15" ht="17" x14ac:dyDescent="0.2">
      <c r="B12" s="42"/>
      <c r="C12" s="42" t="s">
        <v>46</v>
      </c>
      <c r="D12" s="43">
        <v>6280</v>
      </c>
      <c r="E12" s="42" t="s">
        <v>41</v>
      </c>
      <c r="F12" t="s">
        <v>62</v>
      </c>
      <c r="I12" s="140"/>
      <c r="J12" s="141" t="s">
        <v>46</v>
      </c>
      <c r="K12" s="142">
        <v>6280</v>
      </c>
      <c r="L12" s="141" t="s">
        <v>41</v>
      </c>
      <c r="M12" s="135" t="s">
        <v>62</v>
      </c>
      <c r="N12" s="135"/>
      <c r="O12" s="136"/>
    </row>
    <row r="13" spans="2:15" ht="17" x14ac:dyDescent="0.2">
      <c r="B13" s="42"/>
      <c r="C13" s="57" t="s">
        <v>47</v>
      </c>
      <c r="D13" s="58">
        <v>8000</v>
      </c>
      <c r="E13" s="57" t="s">
        <v>48</v>
      </c>
      <c r="F13" s="59" t="s">
        <v>60</v>
      </c>
      <c r="I13" s="140"/>
      <c r="J13" s="143" t="s">
        <v>47</v>
      </c>
      <c r="K13" s="146">
        <v>3000</v>
      </c>
      <c r="L13" s="143" t="s">
        <v>48</v>
      </c>
      <c r="M13" s="145" t="s">
        <v>106</v>
      </c>
      <c r="N13" s="135"/>
      <c r="O13" s="136"/>
    </row>
    <row r="14" spans="2:15" ht="17" x14ac:dyDescent="0.2">
      <c r="B14" s="42"/>
      <c r="C14" s="57" t="s">
        <v>49</v>
      </c>
      <c r="D14" s="58">
        <v>4500</v>
      </c>
      <c r="E14" s="57" t="s">
        <v>50</v>
      </c>
      <c r="F14" s="59" t="s">
        <v>63</v>
      </c>
      <c r="I14" s="140"/>
      <c r="J14" s="143" t="s">
        <v>49</v>
      </c>
      <c r="K14" s="144">
        <v>4500</v>
      </c>
      <c r="L14" s="143" t="s">
        <v>50</v>
      </c>
      <c r="M14" s="145" t="s">
        <v>63</v>
      </c>
      <c r="N14" s="135"/>
      <c r="O14" s="136"/>
    </row>
    <row r="15" spans="2:15" ht="17" x14ac:dyDescent="0.2">
      <c r="B15" s="42"/>
      <c r="C15" s="57" t="s">
        <v>51</v>
      </c>
      <c r="D15" s="58"/>
      <c r="E15" s="57" t="s">
        <v>50</v>
      </c>
      <c r="F15" s="83" t="s">
        <v>65</v>
      </c>
      <c r="I15" s="140"/>
      <c r="J15" s="143" t="s">
        <v>51</v>
      </c>
      <c r="K15" s="144"/>
      <c r="L15" s="143" t="s">
        <v>50</v>
      </c>
      <c r="M15" s="145" t="s">
        <v>65</v>
      </c>
      <c r="N15" s="135"/>
      <c r="O15" s="136"/>
    </row>
    <row r="16" spans="2:15" ht="17" x14ac:dyDescent="0.2">
      <c r="B16" s="42"/>
      <c r="C16" s="57" t="s">
        <v>52</v>
      </c>
      <c r="D16" s="58">
        <v>2000</v>
      </c>
      <c r="E16" s="57" t="s">
        <v>53</v>
      </c>
      <c r="F16" s="59" t="s">
        <v>64</v>
      </c>
      <c r="I16" s="140"/>
      <c r="J16" s="143" t="s">
        <v>52</v>
      </c>
      <c r="K16" s="144">
        <v>2000</v>
      </c>
      <c r="L16" s="143" t="s">
        <v>53</v>
      </c>
      <c r="M16" s="145" t="s">
        <v>64</v>
      </c>
      <c r="N16" s="135"/>
      <c r="O16" s="136"/>
    </row>
    <row r="17" spans="2:15" ht="17" x14ac:dyDescent="0.2">
      <c r="B17" s="42"/>
      <c r="C17" s="57" t="s">
        <v>54</v>
      </c>
      <c r="D17" s="58"/>
      <c r="E17" s="57" t="s">
        <v>50</v>
      </c>
      <c r="F17" s="59" t="s">
        <v>70</v>
      </c>
      <c r="I17" s="140"/>
      <c r="J17" s="143" t="s">
        <v>54</v>
      </c>
      <c r="K17" s="144"/>
      <c r="L17" s="143" t="s">
        <v>50</v>
      </c>
      <c r="M17" s="147" t="s">
        <v>70</v>
      </c>
      <c r="N17" s="135"/>
      <c r="O17" s="136"/>
    </row>
    <row r="18" spans="2:15" ht="17" x14ac:dyDescent="0.2">
      <c r="B18" s="42"/>
      <c r="C18" s="42" t="s">
        <v>55</v>
      </c>
      <c r="D18" s="43">
        <v>8000</v>
      </c>
      <c r="E18" s="42" t="s">
        <v>48</v>
      </c>
      <c r="F18" t="s">
        <v>66</v>
      </c>
      <c r="I18" s="140"/>
      <c r="J18" s="141" t="s">
        <v>55</v>
      </c>
      <c r="K18" s="142">
        <v>8000</v>
      </c>
      <c r="L18" s="141" t="s">
        <v>48</v>
      </c>
      <c r="M18" s="135" t="s">
        <v>66</v>
      </c>
      <c r="N18" s="135"/>
      <c r="O18" s="136"/>
    </row>
    <row r="19" spans="2:15" ht="17" x14ac:dyDescent="0.2">
      <c r="C19" s="57" t="s">
        <v>77</v>
      </c>
      <c r="D19" s="58">
        <v>3500</v>
      </c>
      <c r="E19" s="59"/>
      <c r="F19" s="59"/>
      <c r="I19" s="134"/>
      <c r="J19" s="143" t="s">
        <v>77</v>
      </c>
      <c r="K19" s="144">
        <v>3500</v>
      </c>
      <c r="L19" s="145"/>
      <c r="M19" s="145"/>
      <c r="N19" s="135"/>
      <c r="O19" s="136"/>
    </row>
    <row r="20" spans="2:15" ht="18" x14ac:dyDescent="0.2">
      <c r="C20" s="41" t="s">
        <v>9</v>
      </c>
      <c r="D20" s="44">
        <f>SUM(D7:D19)</f>
        <v>56293.5</v>
      </c>
      <c r="I20" s="134"/>
      <c r="J20" s="41" t="s">
        <v>9</v>
      </c>
      <c r="K20" s="151">
        <f>SUM(K7:K19)</f>
        <v>51293.5</v>
      </c>
      <c r="L20" s="135"/>
      <c r="M20" s="135"/>
      <c r="N20" s="135"/>
      <c r="O20" s="136"/>
    </row>
    <row r="21" spans="2:15" x14ac:dyDescent="0.2">
      <c r="I21" s="134"/>
      <c r="J21" s="135"/>
      <c r="K21" s="135"/>
      <c r="L21" s="135"/>
      <c r="M21" s="135"/>
      <c r="N21" s="135"/>
      <c r="O21" s="136"/>
    </row>
    <row r="22" spans="2:15" ht="17" thickBot="1" x14ac:dyDescent="0.25">
      <c r="I22" s="148"/>
      <c r="J22" s="149"/>
      <c r="K22" s="149"/>
      <c r="L22" s="149"/>
      <c r="M22" s="149"/>
      <c r="N22" s="149"/>
      <c r="O22" s="150"/>
    </row>
  </sheetData>
  <mergeCells count="5">
    <mergeCell ref="B2:E2"/>
    <mergeCell ref="B3:E3"/>
    <mergeCell ref="B4:E4"/>
    <mergeCell ref="B5:E5"/>
    <mergeCell ref="I5:L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CD15F-D164-4B03-A392-7A96475D2910}">
  <dimension ref="B2:G20"/>
  <sheetViews>
    <sheetView topLeftCell="A3" workbookViewId="0">
      <selection activeCell="D26" sqref="D26"/>
    </sheetView>
  </sheetViews>
  <sheetFormatPr baseColWidth="10" defaultColWidth="8.83203125" defaultRowHeight="16" x14ac:dyDescent="0.2"/>
  <cols>
    <col min="2" max="2" width="3.83203125" customWidth="1"/>
    <col min="3" max="3" width="21.1640625" customWidth="1"/>
    <col min="4" max="4" width="18" customWidth="1"/>
    <col min="5" max="5" width="15.6640625" customWidth="1"/>
    <col min="6" max="6" width="25.6640625" customWidth="1"/>
    <col min="7" max="7" width="12.6640625" customWidth="1"/>
    <col min="8" max="8" width="12.83203125" customWidth="1"/>
  </cols>
  <sheetData>
    <row r="2" spans="2:7" ht="24" x14ac:dyDescent="0.3">
      <c r="B2" s="96" t="s">
        <v>35</v>
      </c>
      <c r="C2" s="97"/>
      <c r="D2" s="97"/>
      <c r="E2" s="97"/>
    </row>
    <row r="3" spans="2:7" x14ac:dyDescent="0.2">
      <c r="B3" s="98" t="s">
        <v>36</v>
      </c>
      <c r="C3" s="97"/>
      <c r="D3" s="97"/>
      <c r="E3" s="97"/>
    </row>
    <row r="4" spans="2:7" x14ac:dyDescent="0.2">
      <c r="B4" s="97" t="s">
        <v>37</v>
      </c>
      <c r="C4" s="97"/>
      <c r="D4" s="97"/>
      <c r="E4" s="97"/>
    </row>
    <row r="5" spans="2:7" x14ac:dyDescent="0.2">
      <c r="B5" s="99" t="s">
        <v>56</v>
      </c>
      <c r="C5" s="97"/>
      <c r="D5" s="97"/>
      <c r="E5" s="97"/>
    </row>
    <row r="6" spans="2:7" x14ac:dyDescent="0.2">
      <c r="B6" s="40"/>
      <c r="C6" s="41" t="s">
        <v>38</v>
      </c>
      <c r="D6" s="41" t="s">
        <v>67</v>
      </c>
      <c r="E6" s="41" t="s">
        <v>39</v>
      </c>
      <c r="F6" s="41" t="s">
        <v>58</v>
      </c>
    </row>
    <row r="7" spans="2:7" ht="17" x14ac:dyDescent="0.2">
      <c r="B7" s="42"/>
      <c r="C7" s="42" t="s">
        <v>40</v>
      </c>
      <c r="D7" s="43">
        <v>7627.25</v>
      </c>
      <c r="E7" s="42" t="s">
        <v>41</v>
      </c>
      <c r="F7" t="s">
        <v>59</v>
      </c>
    </row>
    <row r="8" spans="2:7" ht="17" x14ac:dyDescent="0.2">
      <c r="B8" s="42"/>
      <c r="C8" s="42" t="s">
        <v>42</v>
      </c>
      <c r="D8" s="43">
        <v>2440</v>
      </c>
      <c r="E8" s="42" t="s">
        <v>41</v>
      </c>
      <c r="F8" t="s">
        <v>57</v>
      </c>
    </row>
    <row r="9" spans="2:7" ht="17" x14ac:dyDescent="0.2">
      <c r="B9" s="42"/>
      <c r="C9" s="42" t="s">
        <v>43</v>
      </c>
      <c r="D9" s="43">
        <v>6449.59</v>
      </c>
      <c r="E9" s="42" t="s">
        <v>41</v>
      </c>
      <c r="F9" t="s">
        <v>59</v>
      </c>
    </row>
    <row r="10" spans="2:7" ht="17" x14ac:dyDescent="0.2">
      <c r="B10" s="42"/>
      <c r="C10" s="42" t="s">
        <v>44</v>
      </c>
      <c r="D10" s="43">
        <v>5705.8</v>
      </c>
      <c r="E10" s="42" t="s">
        <v>41</v>
      </c>
      <c r="F10" t="s">
        <v>61</v>
      </c>
    </row>
    <row r="11" spans="2:7" ht="17" x14ac:dyDescent="0.2">
      <c r="B11" s="42"/>
      <c r="C11" s="42" t="s">
        <v>45</v>
      </c>
      <c r="D11" s="43">
        <v>7496.66</v>
      </c>
      <c r="E11" s="42" t="s">
        <v>41</v>
      </c>
      <c r="F11" t="s">
        <v>59</v>
      </c>
    </row>
    <row r="12" spans="2:7" ht="17" x14ac:dyDescent="0.2">
      <c r="B12" s="42"/>
      <c r="C12" s="42" t="s">
        <v>46</v>
      </c>
      <c r="D12" s="43">
        <v>6280</v>
      </c>
      <c r="E12" s="42" t="s">
        <v>41</v>
      </c>
      <c r="F12" t="s">
        <v>62</v>
      </c>
    </row>
    <row r="13" spans="2:7" ht="17" x14ac:dyDescent="0.2">
      <c r="B13" s="42"/>
      <c r="C13" s="45" t="s">
        <v>47</v>
      </c>
      <c r="D13" s="46">
        <v>8000</v>
      </c>
      <c r="E13" s="45" t="s">
        <v>48</v>
      </c>
      <c r="F13" s="47" t="s">
        <v>60</v>
      </c>
      <c r="G13" t="s">
        <v>71</v>
      </c>
    </row>
    <row r="14" spans="2:7" ht="17" x14ac:dyDescent="0.2">
      <c r="B14" s="42"/>
      <c r="C14" s="42" t="s">
        <v>49</v>
      </c>
      <c r="D14" s="43">
        <v>4000</v>
      </c>
      <c r="E14" s="42" t="s">
        <v>50</v>
      </c>
      <c r="F14" t="s">
        <v>63</v>
      </c>
    </row>
    <row r="15" spans="2:7" ht="17" x14ac:dyDescent="0.2">
      <c r="B15" s="42"/>
      <c r="C15" s="42" t="s">
        <v>51</v>
      </c>
      <c r="D15" s="43">
        <v>1500</v>
      </c>
      <c r="E15" s="42" t="s">
        <v>50</v>
      </c>
      <c r="F15" t="s">
        <v>65</v>
      </c>
    </row>
    <row r="16" spans="2:7" ht="17" x14ac:dyDescent="0.2">
      <c r="B16" s="42"/>
      <c r="C16" s="42" t="s">
        <v>52</v>
      </c>
      <c r="D16" s="43">
        <v>1500</v>
      </c>
      <c r="E16" s="42" t="s">
        <v>53</v>
      </c>
      <c r="F16" t="s">
        <v>64</v>
      </c>
    </row>
    <row r="17" spans="2:7" ht="17" x14ac:dyDescent="0.2">
      <c r="B17" s="42"/>
      <c r="C17" s="45" t="s">
        <v>54</v>
      </c>
      <c r="D17" s="46">
        <v>500</v>
      </c>
      <c r="E17" s="45" t="s">
        <v>50</v>
      </c>
      <c r="F17" s="47" t="s">
        <v>70</v>
      </c>
      <c r="G17" t="s">
        <v>71</v>
      </c>
    </row>
    <row r="18" spans="2:7" ht="17" x14ac:dyDescent="0.2">
      <c r="B18" s="42"/>
      <c r="C18" s="42" t="s">
        <v>55</v>
      </c>
      <c r="D18" s="43">
        <v>8000</v>
      </c>
      <c r="E18" s="42" t="s">
        <v>48</v>
      </c>
      <c r="F18" t="s">
        <v>66</v>
      </c>
    </row>
    <row r="20" spans="2:7" x14ac:dyDescent="0.2">
      <c r="C20" s="41" t="s">
        <v>9</v>
      </c>
      <c r="D20" s="44">
        <f>SUM(D7:D18)</f>
        <v>59499.3</v>
      </c>
    </row>
  </sheetData>
  <mergeCells count="4">
    <mergeCell ref="B2:E2"/>
    <mergeCell ref="B3:E3"/>
    <mergeCell ref="B4:E4"/>
    <mergeCell ref="B5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C5347-5DF0-164E-981F-ABE89DAC61CB}">
  <dimension ref="B1:AX12"/>
  <sheetViews>
    <sheetView showGridLines="0" zoomScaleNormal="100" workbookViewId="0">
      <selection activeCell="C17" sqref="C17"/>
    </sheetView>
  </sheetViews>
  <sheetFormatPr baseColWidth="10" defaultColWidth="11.1640625" defaultRowHeight="16" x14ac:dyDescent="0.2"/>
  <cols>
    <col min="1" max="1" width="3" customWidth="1"/>
    <col min="2" max="2" width="28.1640625" style="31" customWidth="1"/>
    <col min="3" max="3" width="13" customWidth="1"/>
    <col min="4" max="4" width="13.33203125" customWidth="1"/>
    <col min="5" max="5" width="11.1640625" customWidth="1"/>
    <col min="6" max="6" width="12.33203125" customWidth="1"/>
    <col min="7" max="7" width="13.6640625" customWidth="1"/>
    <col min="8" max="8" width="13.83203125" customWidth="1"/>
    <col min="9" max="9" width="13.1640625" customWidth="1"/>
    <col min="10" max="10" width="12.1640625" customWidth="1"/>
    <col min="11" max="11" width="12.33203125" customWidth="1"/>
    <col min="12" max="12" width="10" customWidth="1"/>
    <col min="13" max="13" width="5" customWidth="1"/>
    <col min="14" max="14" width="12.1640625" bestFit="1" customWidth="1"/>
    <col min="15" max="15" width="12.33203125" customWidth="1"/>
    <col min="16" max="47" width="11.1640625" customWidth="1"/>
    <col min="48" max="48" width="12" customWidth="1"/>
    <col min="49" max="89" width="11.1640625" customWidth="1"/>
    <col min="93" max="94" width="0" hidden="1" customWidth="1"/>
  </cols>
  <sheetData>
    <row r="1" spans="2:50" ht="30" thickBot="1" x14ac:dyDescent="0.25">
      <c r="B1" s="33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AV1" s="7" t="s">
        <v>3</v>
      </c>
      <c r="AW1" s="8" t="s">
        <v>4</v>
      </c>
    </row>
    <row r="2" spans="2:50" ht="30" thickBot="1" x14ac:dyDescent="0.25">
      <c r="B2" s="32"/>
      <c r="C2" s="15"/>
      <c r="D2" s="1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4"/>
      <c r="AV2" s="7" t="s">
        <v>5</v>
      </c>
      <c r="AW2" s="8" t="s">
        <v>6</v>
      </c>
    </row>
    <row r="3" spans="2:50" ht="17.5" customHeight="1" thickBot="1" x14ac:dyDescent="0.25">
      <c r="B3" s="3"/>
      <c r="C3" s="35" t="s">
        <v>19</v>
      </c>
      <c r="D3" s="36" t="s">
        <v>20</v>
      </c>
      <c r="E3" s="36" t="s">
        <v>21</v>
      </c>
      <c r="F3" s="36" t="s">
        <v>22</v>
      </c>
      <c r="G3" s="37" t="s">
        <v>23</v>
      </c>
      <c r="H3" s="37" t="s">
        <v>24</v>
      </c>
      <c r="I3" s="35" t="s">
        <v>25</v>
      </c>
      <c r="J3" s="35" t="s">
        <v>26</v>
      </c>
      <c r="K3" s="35" t="s">
        <v>27</v>
      </c>
      <c r="L3" s="35" t="s">
        <v>28</v>
      </c>
      <c r="M3" s="1"/>
      <c r="N3" s="35" t="s">
        <v>9</v>
      </c>
      <c r="O3" s="1"/>
      <c r="P3" s="34"/>
      <c r="AV3" s="9" t="s">
        <v>7</v>
      </c>
      <c r="AW3" s="8" t="s">
        <v>8</v>
      </c>
      <c r="AX3" s="11" t="s">
        <v>11</v>
      </c>
    </row>
    <row r="4" spans="2:50" ht="17" thickBot="1" x14ac:dyDescent="0.25">
      <c r="B4" s="32" t="s">
        <v>29</v>
      </c>
      <c r="C4" s="17">
        <v>74817.114999999991</v>
      </c>
      <c r="D4" s="18">
        <v>81541.31</v>
      </c>
      <c r="E4" s="17">
        <v>16103.96</v>
      </c>
      <c r="F4" s="17">
        <v>28482.76</v>
      </c>
      <c r="G4" s="17">
        <v>21415.57</v>
      </c>
      <c r="H4" s="17">
        <v>23307.050000000003</v>
      </c>
      <c r="I4" s="17">
        <v>7140.6</v>
      </c>
      <c r="J4" s="17">
        <v>420</v>
      </c>
      <c r="K4" s="17">
        <v>6987.5</v>
      </c>
      <c r="L4" s="17">
        <v>7594.82</v>
      </c>
      <c r="M4" s="19"/>
      <c r="N4" s="20">
        <v>267810.685</v>
      </c>
      <c r="O4" s="1"/>
      <c r="P4" s="34"/>
      <c r="AV4" s="10" t="s">
        <v>9</v>
      </c>
      <c r="AW4" s="10" t="s">
        <v>10</v>
      </c>
    </row>
    <row r="5" spans="2:50" ht="17" thickBot="1" x14ac:dyDescent="0.25">
      <c r="B5" s="32" t="s">
        <v>30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9"/>
      <c r="N5" s="21">
        <v>0</v>
      </c>
      <c r="O5" s="1"/>
      <c r="P5" s="34"/>
    </row>
    <row r="6" spans="2:50" ht="17" thickBot="1" x14ac:dyDescent="0.25">
      <c r="B6" s="32" t="s">
        <v>31</v>
      </c>
      <c r="C6" s="22">
        <v>10725</v>
      </c>
      <c r="D6" s="22">
        <v>5355</v>
      </c>
      <c r="E6" s="22">
        <v>55</v>
      </c>
      <c r="F6" s="22">
        <v>1002</v>
      </c>
      <c r="G6" s="22">
        <v>1109</v>
      </c>
      <c r="H6" s="22">
        <v>956</v>
      </c>
      <c r="I6" s="22">
        <v>4194</v>
      </c>
      <c r="J6" s="22">
        <v>125</v>
      </c>
      <c r="K6" s="18">
        <v>0</v>
      </c>
      <c r="L6" s="18">
        <v>0</v>
      </c>
      <c r="M6" s="19"/>
      <c r="N6" s="23">
        <v>23521</v>
      </c>
      <c r="O6" s="38">
        <v>291331.685</v>
      </c>
      <c r="P6" s="34"/>
    </row>
    <row r="7" spans="2:50" ht="17" thickBot="1" x14ac:dyDescent="0.25">
      <c r="B7" s="32" t="s">
        <v>32</v>
      </c>
      <c r="C7" s="24">
        <v>81274</v>
      </c>
      <c r="D7" s="24">
        <v>66150</v>
      </c>
      <c r="E7" s="24">
        <v>17344</v>
      </c>
      <c r="F7" s="24">
        <v>1250</v>
      </c>
      <c r="G7" s="24">
        <v>0</v>
      </c>
      <c r="H7" s="24">
        <v>8106</v>
      </c>
      <c r="I7" s="24">
        <v>1250</v>
      </c>
      <c r="J7" s="24" t="s">
        <v>33</v>
      </c>
      <c r="K7" s="24" t="s">
        <v>33</v>
      </c>
      <c r="L7" s="24" t="s">
        <v>33</v>
      </c>
      <c r="M7" s="25"/>
      <c r="N7" s="26">
        <v>175374</v>
      </c>
      <c r="O7" s="1"/>
      <c r="P7" s="34"/>
    </row>
    <row r="8" spans="2:50" ht="17" thickBot="1" x14ac:dyDescent="0.25">
      <c r="B8" s="32" t="s">
        <v>34</v>
      </c>
      <c r="C8" s="27"/>
      <c r="D8" s="27"/>
      <c r="E8" s="27"/>
      <c r="F8" s="27"/>
      <c r="G8" s="27"/>
      <c r="H8" s="27"/>
      <c r="I8" s="27"/>
      <c r="J8" s="28">
        <v>327493.59999999998</v>
      </c>
      <c r="K8" s="27"/>
      <c r="L8" s="27"/>
      <c r="M8" s="25"/>
      <c r="N8" s="29">
        <v>327493.59999999998</v>
      </c>
      <c r="O8" s="39">
        <v>502867.6</v>
      </c>
      <c r="P8" s="34"/>
    </row>
    <row r="9" spans="2:50" x14ac:dyDescent="0.2">
      <c r="B9" s="3"/>
      <c r="C9" s="1"/>
      <c r="D9" s="30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34"/>
    </row>
    <row r="10" spans="2:50" x14ac:dyDescent="0.2">
      <c r="B10" s="33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</row>
    <row r="11" spans="2:50" x14ac:dyDescent="0.2"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</row>
    <row r="12" spans="2:50" x14ac:dyDescent="0.2">
      <c r="B12" s="33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KH BULD</vt:lpstr>
      <vt:lpstr>Salary NEW</vt:lpstr>
      <vt:lpstr>Salary</vt:lpstr>
      <vt:lpstr>ABC 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Сережин</dc:creator>
  <cp:lastModifiedBy>Дмитрий Сережин</cp:lastModifiedBy>
  <dcterms:created xsi:type="dcterms:W3CDTF">2025-09-15T10:16:29Z</dcterms:created>
  <dcterms:modified xsi:type="dcterms:W3CDTF">2026-04-18T09:23:11Z</dcterms:modified>
</cp:coreProperties>
</file>